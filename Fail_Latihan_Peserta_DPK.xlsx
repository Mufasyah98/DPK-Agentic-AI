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" sheetId="1" state="visible" r:id="rId3"/>
    <sheet name="A1 Power Prompt" sheetId="2" state="visible" r:id="rId4"/>
    <sheet name="KK1 Nota Mesyuarat" sheetId="3" state="visible" r:id="rId5"/>
    <sheet name="KK2 Portfolio" sheetId="4" state="visible" r:id="rId6"/>
    <sheet name="M3 Permohonan" sheetId="5" state="visible" r:id="rId7"/>
    <sheet name="4.1 Status KPI" sheetId="6" state="visible" r:id="rId8"/>
    <sheet name="4.2 Rekonsiliasi" sheetId="7" state="visible" r:id="rId9"/>
    <sheet name="4.3 Nota MyDPK" sheetId="8" state="visible" r:id="rId10"/>
    <sheet name="4.4 Tunggakan" sheetId="9" state="visible" r:id="rId11"/>
    <sheet name="4.5 Prospektus" sheetId="10" state="visible" r:id="rId12"/>
    <sheet name="4.6 Produk DPK" sheetId="11" state="visible" r:id="rId13"/>
    <sheet name="4.7 Draf Iklan" sheetId="12" state="visible" r:id="rId14"/>
    <sheet name="4.8 Produk Rekaan" sheetId="13" state="visible" r:id="rId15"/>
    <sheet name="4.9 Klausa" sheetId="14" state="visible" r:id="rId16"/>
    <sheet name="Demo BCM" sheetId="15" state="visible" r:id="rId17"/>
    <sheet name="M5 Bahan Ujian" sheetId="16" state="visible" r:id="rId18"/>
    <sheet name="M5 Lembaran Reka" sheetId="17" state="visible" r:id="rId19"/>
    <sheet name="M5 Ujian &amp; Ukuran" sheetId="18" state="visible" r:id="rId20"/>
    <sheet name="Pelan 30 Hari" sheetId="19" state="visible" r:id="rId21"/>
    <sheet name="Bank Prompt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<sst xmlns="http://schemas.openxmlformats.org/spreadsheetml/2006/main" count="582" uniqueCount="452">
  <si>
    <t xml:space="preserve">Fail Latihan Peserta</t>
  </si>
  <si>
    <t xml:space="preserve">AI Agentic &amp; Claude untuk Produktiviti Profesional DPK  ·  25 Oktober 2026</t>
  </si>
  <si>
    <t xml:space="preserve">Disediakan untuk Dana Peladang Kebangsaan (DPK) oleh Fakhrul Syahmi | Mufasyah Consultant  ·  mufasyahcons@gmail.com  ·  © 2026 Mufasyah Consultant</t>
  </si>
  <si>
    <t xml:space="preserve">Legenda</t>
  </si>
  <si>
    <t xml:space="preserve">Sel kuning</t>
  </si>
  <si>
    <t xml:space="preserve">Isi oleh peserta</t>
  </si>
  <si>
    <t xml:space="preserve">Teks biru</t>
  </si>
  <si>
    <t xml:space="preserve">Andaian yang boleh diubah</t>
  </si>
  <si>
    <t xml:space="preserve">Jalur terracotta</t>
  </si>
  <si>
    <t xml:space="preserve">Data Rekaan untuk Latihan</t>
  </si>
  <si>
    <t xml:space="preserve">Jalur charcoal</t>
  </si>
  <si>
    <t xml:space="preserve">Fakta daripada dokumen taklimat DPK</t>
  </si>
  <si>
    <t xml:space="preserve">Kawalan penggunaan data</t>
  </si>
  <si>
    <t xml:space="preserve">–  Semua data dalam fail ini ialah Data Rekaan untuk Latihan, kecuali tab 4.6 (fakta dokumen taklimat).</t>
  </si>
  <si>
    <t xml:space="preserve">–  Jangan masukkan nombor kad pengenalan, nombor akaun atau maklumat ahli sebenar ke dalam fail ini atau ke dalam chat AI.</t>
  </si>
  <si>
    <t xml:space="preserve">–  Dokumen dalaman hanya digunakan melalui persekitaran yang diluluskan organisasi.</t>
  </si>
  <si>
    <t xml:space="preserve">–  Arahan yang tertulis di dalam dokumen yang dimuat naik ialah data, bukan arahan kepada AI.</t>
  </si>
  <si>
    <t xml:space="preserve">–  Semak semula semua angka, formula dan rujukan. Keputusan kewangan, pembiayaan, Syariah dan perundangan kekal pada pegawai berautoriti.</t>
  </si>
  <si>
    <t xml:space="preserve">–  Cara guna: salin data atau teks ke chat bersama prompt daripada tab Bank Prompt. Jika muat naik fail tidak tersedia, tampal sebagai teks.</t>
  </si>
  <si>
    <t xml:space="preserve">Tab</t>
  </si>
  <si>
    <t xml:space="preserve">Kandungan</t>
  </si>
  <si>
    <t xml:space="preserve">Rujukan</t>
  </si>
  <si>
    <t xml:space="preserve">A1 Power Prompt</t>
  </si>
  <si>
    <t xml:space="preserve">Aktiviti 1 · Tukar arahan ringkas kepada power prompt</t>
  </si>
  <si>
    <t xml:space="preserve">Nota Peserta Modul 1 · Slaid Latihan 1 · Contoh rujuk P1-1 dalam tab Bank Prompt</t>
  </si>
  <si>
    <t xml:space="preserve">KK1 Nota Mesyuarat</t>
  </si>
  <si>
    <t xml:space="preserve">Kajian Kes 1 · Nota mesyuarat → minit dan daftar tindakan</t>
  </si>
  <si>
    <t xml:space="preserve">Nota Peserta 2.3 · Slaid Demo A · Prompt P2-1</t>
  </si>
  <si>
    <t xml:space="preserve">KK2 Portfolio</t>
  </si>
  <si>
    <t xml:space="preserve">Kajian Kes 2 · Portfolio dan senario kadar agihan</t>
  </si>
  <si>
    <t xml:space="preserve">Nota Peserta 2.4 · Slaid Demo B · Prompt P2-2 · Simulasi latihan, bukan model kewangan DPK</t>
  </si>
  <si>
    <t xml:space="preserve">M3 Permohonan</t>
  </si>
  <si>
    <t xml:space="preserve">Modul 3 · Pembantu Penyediaan Kertas Pembiayaan</t>
  </si>
  <si>
    <t xml:space="preserve">Nota Peserta 3.4 · Prompt P3-1 · Senarai semak latihan, bukan senarai semak rasmi DPK</t>
  </si>
  <si>
    <t xml:space="preserve">4.1 Status KPI</t>
  </si>
  <si>
    <t xml:space="preserve">Aktiviti 4.1 · Ringkasan status tindakan KPI, ISO dan SOP</t>
  </si>
  <si>
    <t xml:space="preserve">Prompt P4-1b · Tarikh rujukan: 31 Oktober 2026</t>
  </si>
  <si>
    <t xml:space="preserve">4.2 Rekonsiliasi</t>
  </si>
  <si>
    <t xml:space="preserve">Aktiviti 4.2 · Rekonsiliasi penyata bank (Oktober)</t>
  </si>
  <si>
    <t xml:space="preserve">Prompt P4-2a · AI tidak membuat entri pelarasan</t>
  </si>
  <si>
    <t xml:space="preserve">4.3 Nota MyDPK</t>
  </si>
  <si>
    <t xml:space="preserve">Aktiviti 4.3 · Nota keperluan pengguna Portal MyDPK</t>
  </si>
  <si>
    <t xml:space="preserve">Prompt P4-3a · Tiada andaian seni bina, vendor atau integrasi sedia ada</t>
  </si>
  <si>
    <t xml:space="preserve">4.4 Tunggakan</t>
  </si>
  <si>
    <t xml:space="preserve">Aktiviti 4.4 · Draf notis tunggakan pukal</t>
  </si>
  <si>
    <t xml:space="preserve">Prompt P4-4a · Ta’widh tidak dikira; guna polisi dan formula diluluskan sahaja</t>
  </si>
  <si>
    <t xml:space="preserve">4.5 Prospektus</t>
  </si>
  <si>
    <t xml:space="preserve">Aktiviti 4.5 · Ringkasan prospektus rekaan</t>
  </si>
  <si>
    <t xml:space="preserve">Prompt P4-5b · Juga bahan Projek D</t>
  </si>
  <si>
    <t xml:space="preserve">4.6 Produk DPK</t>
  </si>
  <si>
    <t xml:space="preserve">Aktiviti 4.6 · Jadual produk DPK</t>
  </si>
  <si>
    <t xml:space="preserve">Prompt P4-6a · Juga bahan Projek E</t>
  </si>
  <si>
    <t xml:space="preserve">4.7 Draf Iklan</t>
  </si>
  <si>
    <t xml:space="preserve">Aktiviti 4.7 · Semak dakwaan dalam draf iklan</t>
  </si>
  <si>
    <t xml:space="preserve">Prompt P4-7a · Sumber: tab 4.6 Produk DPK</t>
  </si>
  <si>
    <t xml:space="preserve">4.8 Produk Rekaan</t>
  </si>
  <si>
    <t xml:space="preserve">Aktiviti 4.8 · Penandaarasan dua produk rekaan</t>
  </si>
  <si>
    <t xml:space="preserve">Prompt P4-8a · Institusi dan produk adalah rekaan</t>
  </si>
  <si>
    <t xml:space="preserve">4.9 Klausa</t>
  </si>
  <si>
    <t xml:space="preserve">Aktiviti 4.9 · Perbandingan dua versi klausa</t>
  </si>
  <si>
    <t xml:space="preserve">Prompt P4-9b · Tiada pendapat hukum atau nasihat undang-undang</t>
  </si>
  <si>
    <t xml:space="preserve">Demo BCM</t>
  </si>
  <si>
    <t xml:space="preserve">Demo Modul 4 · Simulasi pengeluaran 50%, 70% dan 100%</t>
  </si>
  <si>
    <t xml:space="preserve">Prompt P-BCM · Simulasi latihan berasaskan andaian; bukan polisi pencairan DPK; data Bloomberg tidak dianggap tersedia</t>
  </si>
  <si>
    <t xml:space="preserve">M5 Bahan Ujian</t>
  </si>
  <si>
    <t xml:space="preserve">Modul 5 · Bahan tiga ujian bagi setiap projek</t>
  </si>
  <si>
    <t xml:space="preserve">Gunakan bersama arahan tetap projek (tab Bank Prompt / Nota Peserta 5.2)</t>
  </si>
  <si>
    <t xml:space="preserve">M5 Lembaran Reka</t>
  </si>
  <si>
    <t xml:space="preserve">Modul 5 · Lembaran reka bentuk pembantu</t>
  </si>
  <si>
    <t xml:space="preserve">Nota Peserta 5.3</t>
  </si>
  <si>
    <t xml:space="preserve">M5 Ujian &amp; Ukuran</t>
  </si>
  <si>
    <t xml:space="preserve">Modul 5 · Keputusan tiga ujian dan ukuran masa</t>
  </si>
  <si>
    <t xml:space="preserve">Nota Peserta 5.4 dan 5.5 · Laporkan sebagai ukuran latihan, bukan dakwaan penjimatan organisasi</t>
  </si>
  <si>
    <t xml:space="preserve">Pelan 30 Hari</t>
  </si>
  <si>
    <t xml:space="preserve">Pelan tindakan 30 hari</t>
  </si>
  <si>
    <t xml:space="preserve">Nota Peserta 6.6 · Data sebenar hanya dalam persekitaran yang diluluskan organisasi</t>
  </si>
  <si>
    <t xml:space="preserve">Bank Prompt</t>
  </si>
  <si>
    <t xml:space="preserve">Bank prompt aktiviti — salin sel lajur D</t>
  </si>
  <si>
    <t xml:space="preserve">Nombor ID sama seperti Nota Peserta</t>
  </si>
  <si>
    <t xml:space="preserve">TEMPLAT KERJA PESERTA — isi sel kuning</t>
  </si>
  <si>
    <t xml:space="preserve">← Kembali ke Mula</t>
  </si>
  <si>
    <t xml:space="preserve">Elemen</t>
  </si>
  <si>
    <t xml:space="preserve">CONTOH (Surat rasmi — ringkas)</t>
  </si>
  <si>
    <t xml:space="preserve">Power prompt saya</t>
  </si>
  <si>
    <t xml:space="preserve">Arahan ringkas asal</t>
  </si>
  <si>
    <t xml:space="preserve">Tulis surat kepada PPK pasal dokumen pembiayaan tak lengkap.</t>
  </si>
  <si>
    <t xml:space="preserve">PERANAN</t>
  </si>
  <si>
    <t xml:space="preserve">Pegawai Operasi Pembiayaan DPK</t>
  </si>
  <si>
    <t xml:space="preserve">OBJEKTIF</t>
  </si>
  <si>
    <t xml:space="preserve">Draf surat memaklumkan dokumen belum lengkap</t>
  </si>
  <si>
    <t xml:space="preserve">KONTEKS</t>
  </si>
  <si>
    <t xml:space="preserve">Penerima Pengerusi PPK (rekaan); nada rasmi dan sopan</t>
  </si>
  <si>
    <t xml:space="preserve">INPUT</t>
  </si>
  <si>
    <t xml:space="preserve">Senarai semak kelengkapan (Data Rekaan)</t>
  </si>
  <si>
    <t xml:space="preserve">ARAHAN</t>
  </si>
  <si>
    <t xml:space="preserve">Rujukan, senarai dokumen belum diterima, tarikh akhir, pegawai dihubungi</t>
  </si>
  <si>
    <t xml:space="preserve">BATASAN</t>
  </si>
  <si>
    <t xml:space="preserve">Tiada keputusan kelulusan atau kadar; maklumat tiada → [PERLU DISAHKAN]</t>
  </si>
  <si>
    <t xml:space="preserve">FORMAT OUTPUT</t>
  </si>
  <si>
    <t xml:space="preserve">Surat rasmi bernombor, satu halaman</t>
  </si>
  <si>
    <t xml:space="preserve">KRITERIA SEMAKAN</t>
  </si>
  <si>
    <t xml:space="preserve">Semua dokumen disebut; tiada fakta baharu</t>
  </si>
  <si>
    <t xml:space="preserve">Catatan pembaikan</t>
  </si>
  <si>
    <t xml:space="preserve">Tambah had satu halaman selepas output pertama terlalu panjang</t>
  </si>
  <si>
    <t xml:space="preserve">DATA REKAAN UNTUK LATIHAN — tidak mewakili individu, akaun atau dokumen sebenar</t>
  </si>
  <si>
    <t xml:space="preserve">Nota kasar mesyuarat (salin ke chat bersama prompt P2-1)</t>
  </si>
  <si>
    <t xml:space="preserve">Mesy. JK Pengurusan DPK Bil. 9/2026 — 14 Okt 2026, 10 pg</t>
  </si>
  <si>
    <t xml:space="preserve">Hadir: Pengurus Kanan (Pengerusi), TPB, KB Pentadbiran, KB Op. Pembiayaan, KB Pelaburan, Eksekutif Syariah. Urus setia: Sekretariat</t>
  </si>
  <si>
    <t xml:space="preserve">- minit Bil. 8 disahkan, tiada pindaan</t>
  </si>
  <si>
    <t xml:space="preserve">- SOP pembiayaan perlu ikut format baharu. Pembiayaan sedia draf "dalam 2 minggu"</t>
  </si>
  <si>
    <t xml:space="preserve">- Portal MyDPK: IT bentang senarai keperluan e-penyata. Tarikh belum tetap</t>
  </si>
  <si>
    <t xml:space="preserve">- Kempen SPKP suku 4: brosur siap sebelum 31/10, semakan Syariah dulu sebelum cetak</t>
  </si>
  <si>
    <t xml:space="preserve">- Audit operasi 2 cawangan bulan Nov — ketua pasukan belum putus</t>
  </si>
  <si>
    <t xml:space="preserve">- Latihan AI 25/10: semua bahagian hantar wakil</t>
  </si>
  <si>
    <t xml:space="preserve">Tiga perkara yang tidak jelas (tulis sebelum menggunakan AI)</t>
  </si>
  <si>
    <t xml:space="preserve">Refleksi: apa yang AI tersilap atau teka, dan bagaimana anda membaiki prompt?</t>
  </si>
  <si>
    <t xml:space="preserve">Andaian</t>
  </si>
  <si>
    <t xml:space="preserve">Dana ahli layak agihan (RM juta)</t>
  </si>
  <si>
    <t xml:space="preserve">Kos operasi (RM juta)</t>
  </si>
  <si>
    <t xml:space="preserve">Senario agihan 1</t>
  </si>
  <si>
    <t xml:space="preserve">Senario agihan 2</t>
  </si>
  <si>
    <t xml:space="preserve">Instrumen</t>
  </si>
  <si>
    <t xml:space="preserve">Nilai (RM juta)</t>
  </si>
  <si>
    <t xml:space="preserve">Pulangan andaian</t>
  </si>
  <si>
    <t xml:space="preserve">Pendapatan — output AI</t>
  </si>
  <si>
    <t xml:space="preserve">Pendapatan — semakan Excel</t>
  </si>
  <si>
    <t xml:space="preserve">Sepadan?</t>
  </si>
  <si>
    <t xml:space="preserve">Pasaran Wang Islam</t>
  </si>
  <si>
    <t xml:space="preserve">Sukuk</t>
  </si>
  <si>
    <t xml:space="preserve">Ekuiti patuh Syariah</t>
  </si>
  <si>
    <t xml:space="preserve">Dana luaran (EFM)</t>
  </si>
  <si>
    <t xml:space="preserve">Jumlah nilai portfolio</t>
  </si>
  <si>
    <t xml:space="preserve">Jumlah pendapatan pelaburan</t>
  </si>
  <si>
    <t xml:space="preserve">Pulangan wajaran</t>
  </si>
  <si>
    <t xml:space="preserve">Keuntungan sebelum agihan</t>
  </si>
  <si>
    <t xml:space="preserve">Agihan senario 1</t>
  </si>
  <si>
    <t xml:space="preserve">Agihan senario 2</t>
  </si>
  <si>
    <t xml:space="preserve">Lebihan / (defisit) senario 1</t>
  </si>
  <si>
    <t xml:space="preserve">Lebihan / (defisit) senario 2</t>
  </si>
  <si>
    <t xml:space="preserve">Kadar agihan maksimum ditampung</t>
  </si>
  <si>
    <t xml:space="preserve">Cara guna: masukkan angka daripada output AI dalam lajur D (kuning). Lajur E mengira semula dengan formula Excel; lajur F menandakan sama ada sepadan. Teks biru = andaian yang boleh diubah. Pulangan pelaburan dan kadar agihan ialah dua perkara berbeza.</t>
  </si>
  <si>
    <t xml:space="preserve">Refleksi: andaian manakah paling sensitif?</t>
  </si>
  <si>
    <t xml:space="preserve">Perkara</t>
  </si>
  <si>
    <t xml:space="preserve">Butiran</t>
  </si>
  <si>
    <t xml:space="preserve">Pemohon</t>
  </si>
  <si>
    <t xml:space="preserve">PPK Sri Contoh (Data Rekaan)</t>
  </si>
  <si>
    <t xml:space="preserve">Produk</t>
  </si>
  <si>
    <t xml:space="preserve">Pembiayaan Berjangka (Tawarruq)</t>
  </si>
  <si>
    <t xml:space="preserve">Amaun dipohon</t>
  </si>
  <si>
    <t xml:space="preserve">RM350,000</t>
  </si>
  <si>
    <t xml:space="preserve">Tempoh</t>
  </si>
  <si>
    <t xml:space="preserve">5 tahun</t>
  </si>
  <si>
    <t xml:space="preserve">Tujuan</t>
  </si>
  <si>
    <t xml:space="preserve">Modal kerja dan naik taraf gudang</t>
  </si>
  <si>
    <t xml:space="preserve">Senarai semak latihan</t>
  </si>
  <si>
    <t xml:space="preserve">Status dalam input</t>
  </si>
  <si>
    <t xml:space="preserve">Borang permohonan lengkap</t>
  </si>
  <si>
    <t xml:space="preserve">Diterima</t>
  </si>
  <si>
    <t xml:space="preserve">Resolusi mesyuarat lembaga PPK</t>
  </si>
  <si>
    <t xml:space="preserve">Penyata kewangan 3 tahun</t>
  </si>
  <si>
    <t xml:space="preserve">Diterima: penyata 2024 dan 2025 sahaja</t>
  </si>
  <si>
    <t xml:space="preserve">Pelan perniagaan &amp; unjuran aliran tunai</t>
  </si>
  <si>
    <t xml:space="preserve">Maklumat jaminan / cagaran</t>
  </si>
  <si>
    <t xml:space="preserve">Tiada maklumat dalam permohonan</t>
  </si>
  <si>
    <t xml:space="preserve">Laporan semakan rekod kredit</t>
  </si>
  <si>
    <t xml:space="preserve">Belum dijalankan</t>
  </si>
  <si>
    <t xml:space="preserve">Produk (fakta dokumen taklimat): Pembiayaan Berjangka (Tawarruq), RM5,000 – RM5 juta, tempoh sehingga 15 tahun.</t>
  </si>
  <si>
    <t xml:space="preserve">ID</t>
  </si>
  <si>
    <t xml:space="preserve">Tindakan</t>
  </si>
  <si>
    <t xml:space="preserve">Pemilik</t>
  </si>
  <si>
    <t xml:space="preserve">Tarikh sasaran</t>
  </si>
  <si>
    <t xml:space="preserve">Status</t>
  </si>
  <si>
    <t xml:space="preserve">T01</t>
  </si>
  <si>
    <t xml:space="preserve">Kemas kini SOP rekod fail</t>
  </si>
  <si>
    <t xml:space="preserve">Pentadbiran</t>
  </si>
  <si>
    <t xml:space="preserve">15 Okt 2026</t>
  </si>
  <si>
    <t xml:space="preserve">Selesai</t>
  </si>
  <si>
    <t xml:space="preserve">T02</t>
  </si>
  <si>
    <t xml:space="preserve">Audit dalaman ISO</t>
  </si>
  <si>
    <t xml:space="preserve">20 Okt 2026</t>
  </si>
  <si>
    <t xml:space="preserve">Dalam tindakan</t>
  </si>
  <si>
    <t xml:space="preserve">T03</t>
  </si>
  <si>
    <t xml:space="preserve">Latihan keselamatan kebakaran</t>
  </si>
  <si>
    <t xml:space="preserve">HR</t>
  </si>
  <si>
    <t xml:space="preserve">30 Nov 2026</t>
  </si>
  <si>
    <t xml:space="preserve">T04</t>
  </si>
  <si>
    <t xml:space="preserve">Semakan KPI suku ketiga</t>
  </si>
  <si>
    <t xml:space="preserve">25 Okt 2026</t>
  </si>
  <si>
    <t xml:space="preserve">T05</t>
  </si>
  <si>
    <t xml:space="preserve">Kemas kini daftar aset</t>
  </si>
  <si>
    <t xml:space="preserve">Khidmat Sokongan</t>
  </si>
  <si>
    <t xml:space="preserve">28 Okt 2026</t>
  </si>
  <si>
    <t xml:space="preserve">T06</t>
  </si>
  <si>
    <t xml:space="preserve">Penilaian prestasi pembekal</t>
  </si>
  <si>
    <t xml:space="preserve">10 Nov 2026</t>
  </si>
  <si>
    <t xml:space="preserve">Tarikh</t>
  </si>
  <si>
    <t xml:space="preserve">Buku tunai</t>
  </si>
  <si>
    <t xml:space="preserve">RM</t>
  </si>
  <si>
    <t xml:space="preserve">Penyata bank</t>
  </si>
  <si>
    <t xml:space="preserve">01/10</t>
  </si>
  <si>
    <t xml:space="preserve">Baki awal</t>
  </si>
  <si>
    <t xml:space="preserve">03/10</t>
  </si>
  <si>
    <t xml:space="preserve">Terimaan ansuran PB-R001</t>
  </si>
  <si>
    <t xml:space="preserve">Kredit PB-R001</t>
  </si>
  <si>
    <t xml:space="preserve">07/10</t>
  </si>
  <si>
    <t xml:space="preserve">Bayaran pembekal (cek 100231)</t>
  </si>
  <si>
    <t xml:space="preserve">15/10</t>
  </si>
  <si>
    <t xml:space="preserve">Kredit PB-R002</t>
  </si>
  <si>
    <t xml:space="preserve">Terimaan ansuran PB-R002</t>
  </si>
  <si>
    <t xml:space="preserve">30/10</t>
  </si>
  <si>
    <t xml:space="preserve">Debit utiliti</t>
  </si>
  <si>
    <t xml:space="preserve">28/10</t>
  </si>
  <si>
    <t xml:space="preserve">Deposit tunai cawangan</t>
  </si>
  <si>
    <t xml:space="preserve">31/10</t>
  </si>
  <si>
    <t xml:space="preserve">Caj bank</t>
  </si>
  <si>
    <t xml:space="preserve">Bayaran utiliti</t>
  </si>
  <si>
    <t xml:space="preserve">Baki akhir penyata bank</t>
  </si>
  <si>
    <t xml:space="preserve">Baki akhir buku tunai</t>
  </si>
  <si>
    <t xml:space="preserve">Penyata rekonsiliasi — isi sel kuning</t>
  </si>
  <si>
    <t xml:space="preserve">Tolak: cek belum ditunai</t>
  </si>
  <si>
    <t xml:space="preserve">Tambah: deposit dalam transit</t>
  </si>
  <si>
    <t xml:space="preserve">Baki bank diselaraskan</t>
  </si>
  <si>
    <t xml:space="preserve">Tolak: caj bank belum direkod</t>
  </si>
  <si>
    <t xml:space="preserve">Baki buku tunai diselaraskan</t>
  </si>
  <si>
    <t xml:space="preserve">Perbezaan (patut 0)</t>
  </si>
  <si>
    <t xml:space="preserve">Nota keperluan</t>
  </si>
  <si>
    <t xml:space="preserve">1. Ahli mahu melihat e-penyata SPKP bulanan dalam portal.</t>
  </si>
  <si>
    <t xml:space="preserve">2. Ahli minta notifikasi apabila dividen dikreditkan.</t>
  </si>
  <si>
    <t xml:space="preserve">3. Pegawai cawangan sukar membantu ahli menetapkan semula kata laluan.</t>
  </si>
  <si>
    <t xml:space="preserve">4. Portal lambat pada waktu puncak (12 aduan bulan lepas).</t>
  </si>
  <si>
    <t xml:space="preserve">Nama</t>
  </si>
  <si>
    <t xml:space="preserve">Tunggakan (RM)</t>
  </si>
  <si>
    <t xml:space="preserve">Bulan tertunggak</t>
  </si>
  <si>
    <t xml:space="preserve">Tarikh akhir</t>
  </si>
  <si>
    <t xml:space="preserve">PB-REKAAN-001</t>
  </si>
  <si>
    <t xml:space="preserve">PPK Contoh A</t>
  </si>
  <si>
    <t xml:space="preserve">15 Nov 2026</t>
  </si>
  <si>
    <t xml:space="preserve">PB-REKAAN-002</t>
  </si>
  <si>
    <t xml:space="preserve">KAT Contoh B</t>
  </si>
  <si>
    <t xml:space="preserve">PB-REKAAN-003</t>
  </si>
  <si>
    <t xml:space="preserve">PPK Contoh C</t>
  </si>
  <si>
    <t xml:space="preserve">—</t>
  </si>
  <si>
    <t xml:space="preserve">Templat notis: gunakan templat notis rasmi yang diluluskan dalam persekitaran organisasi. Untuk latihan, minta AI menggunakan struktur notis ringkas dan label DRAF.</t>
  </si>
  <si>
    <t xml:space="preserve">Ringkasan prospektus</t>
  </si>
  <si>
    <t xml:space="preserve">Sektor: pemprosesan makanan berasaskan padi</t>
  </si>
  <si>
    <t xml:space="preserve">Saiz terbitan: 50 juta saham baharu; harga indikatif RM0.80 sesaham</t>
  </si>
  <si>
    <t xml:space="preserve">Kegunaan dana: kilang baharu (60%), modal kerja (30%), kos penyenaraian (10%)</t>
  </si>
  <si>
    <t xml:space="preserve">Untung bersih: 2023 RM8.2 juta; 2024 RM9.1 juta; 2025 [tiada dalam ringkasan]</t>
  </si>
  <si>
    <t xml:space="preserve">Status Syariah: [tidak dinyatakan dalam ringkasan]</t>
  </si>
  <si>
    <t xml:space="preserve">Risiko dinyatakan: harga bahan mentah, cuaca, kebergantungan kepada 3 pelanggan utama</t>
  </si>
  <si>
    <t xml:space="preserve">FAKTA DOKUMEN TAKLIMAT DPK — gunakan dokumen produk rasmi yang diluluskan untuk kegunaan sebenar</t>
  </si>
  <si>
    <t xml:space="preserve">Konsep Syariah</t>
  </si>
  <si>
    <t xml:space="preserve">Ringkasan</t>
  </si>
  <si>
    <t xml:space="preserve">Akaun Simpanan Biasa</t>
  </si>
  <si>
    <t xml:space="preserve">Al-Wadi'ah Yad Dhamanah</t>
  </si>
  <si>
    <t xml:space="preserve">Simpanan selamat, deposit minimum RM10</t>
  </si>
  <si>
    <t xml:space="preserve">SPKP-DPK</t>
  </si>
  <si>
    <t xml:space="preserve">Al-Wakalah Bil Istithmar</t>
  </si>
  <si>
    <t xml:space="preserve">Pelaburan patuh Syariah; dividen 10% (2024)</t>
  </si>
  <si>
    <t xml:space="preserve">Pembiayaan Berjangka</t>
  </si>
  <si>
    <t xml:space="preserve">Tawarruq</t>
  </si>
  <si>
    <t xml:space="preserve">RM5,000 – RM5 juta; tempoh sehingga 15 tahun</t>
  </si>
  <si>
    <t xml:space="preserve">Sewa Beli Jentera</t>
  </si>
  <si>
    <t xml:space="preserve">AITAB</t>
  </si>
  <si>
    <t xml:space="preserve">Sehingga 90% nilai jentera; tempoh maksimum 5 tahun</t>
  </si>
  <si>
    <t xml:space="preserve">Kredit Berputar</t>
  </si>
  <si>
    <t xml:space="preserve">Modal kerja jangka pendek; bayaran balik 3/6/9/12 bulan</t>
  </si>
  <si>
    <t xml:space="preserve">Projek Usahasama / Modal Teroka</t>
  </si>
  <si>
    <t xml:space="preserve">Musyarakah / Mudharabah</t>
  </si>
  <si>
    <t xml:space="preserve">Minimum RM100,000; tempoh minimum 1 tahun</t>
  </si>
  <si>
    <t xml:space="preserve">DATA REKAAN UNTUK LATIHAN — tidak mewakili individu, akaun atau dokumen sebenar (mengandungi kesilapan sengaja)</t>
  </si>
  <si>
    <t xml:space="preserve">Draf iklan</t>
  </si>
  <si>
    <t xml:space="preserve">“SPKP-DPK: dividen 10% setiap tahun dijamin! Buka akaun dengan hanya RM10. Pembiayaan sehingga RM10 juta tanpa cagaran untuk semua ahli.”</t>
  </si>
  <si>
    <t xml:space="preserve">Sumber</t>
  </si>
  <si>
    <t xml:space="preserve">Tarikh sumber</t>
  </si>
  <si>
    <t xml:space="preserve">Segmen</t>
  </si>
  <si>
    <t xml:space="preserve">Had amaun</t>
  </si>
  <si>
    <t xml:space="preserve">Konsep Syariah / saluran</t>
  </si>
  <si>
    <t xml:space="preserve">Produk Rekaan X</t>
  </si>
  <si>
    <t xml:space="preserve">Risalah Institusi A</t>
  </si>
  <si>
    <t xml:space="preserve">Jun 2026</t>
  </si>
  <si>
    <t xml:space="preserve">Mikrokredit usahawan tani</t>
  </si>
  <si>
    <t xml:space="preserve">RM1,000 – RM20,000</t>
  </si>
  <si>
    <t xml:space="preserve">6 – 36 bulan</t>
  </si>
  <si>
    <t xml:space="preserve">Tidak dinyatakan; aplikasi mudah alih</t>
  </si>
  <si>
    <t xml:space="preserve">Produk Rekaan Y</t>
  </si>
  <si>
    <t xml:space="preserve">Laman web Institusi B</t>
  </si>
  <si>
    <t xml:space="preserve">Ogos 2026</t>
  </si>
  <si>
    <t xml:space="preserve">Pembiayaan peribadi penjawat awam</t>
  </si>
  <si>
    <t xml:space="preserve">Sehingga RM150,000</t>
  </si>
  <si>
    <t xml:space="preserve">Tidak dinyatakan</t>
  </si>
  <si>
    <t xml:space="preserve">Tidak dinyatakan; cawangan</t>
  </si>
  <si>
    <t xml:space="preserve">KLAUSA REKAAN UNTUK LATIHAN — bukan teks perjanjian DPK</t>
  </si>
  <si>
    <t xml:space="preserve">Klausa</t>
  </si>
  <si>
    <t xml:space="preserve">Versi A</t>
  </si>
  <si>
    <t xml:space="preserve">Versi B</t>
  </si>
  <si>
    <t xml:space="preserve">8.2 Ta’widh</t>
  </si>
  <si>
    <t xml:space="preserve">Dikenakan mengikut kadar yang diluluskan oleh Jawatankuasa Syariah.</t>
  </si>
  <si>
    <t xml:space="preserve">Dikenakan mengikut kadar yang ditetapkan oleh pembiaya.</t>
  </si>
  <si>
    <t xml:space="preserve">8.3 Ibra’</t>
  </si>
  <si>
    <t xml:space="preserve">Diberikan atas penyelesaian awal mengikut polisi.</t>
  </si>
  <si>
    <t xml:space="preserve">[tiada klausa]</t>
  </si>
  <si>
    <t xml:space="preserve">15.1 Undang-undang</t>
  </si>
  <si>
    <t xml:space="preserve">Perjanjian ini tertakluk kepada undang-undang Malaysia.</t>
  </si>
  <si>
    <t xml:space="preserve">[tiada teks]</t>
  </si>
  <si>
    <t xml:space="preserve">Aset (susunan pencairan)</t>
  </si>
  <si>
    <t xml:space="preserve">Diskaun pencairan</t>
  </si>
  <si>
    <t xml:space="preserve">Catatan</t>
  </si>
  <si>
    <t xml:space="preserve">Pasaran wang</t>
  </si>
  <si>
    <t xml:space="preserve">Ekuiti</t>
  </si>
  <si>
    <t xml:space="preserve">EFM</t>
  </si>
  <si>
    <t xml:space="preserve">Notis 30 hari</t>
  </si>
  <si>
    <t xml:space="preserve">Dana ahli (RM juta)</t>
  </si>
  <si>
    <t xml:space="preserve">Senario pengeluaran</t>
  </si>
  <si>
    <t xml:space="preserve">50%, 70%, 100%</t>
  </si>
  <si>
    <t xml:space="preserve">Projek</t>
  </si>
  <si>
    <t xml:space="preserve">Ujian</t>
  </si>
  <si>
    <t xml:space="preserve">Input</t>
  </si>
  <si>
    <t xml:space="preserve">A</t>
  </si>
  <si>
    <t xml:space="preserve">1 Lengkap</t>
  </si>
  <si>
    <t xml:space="preserve">Mesy. JK Pengurusan DPK Bil. 9/2026 — 14 Okt 2026, 10 pg
Hadir: Pengurus Kanan (Pengerusi), TPB, KB Pentadbiran, KB Op. Pembiayaan, KB Pelaburan, Eksekutif Syariah. Urus setia: Sekretariat
- minit Bil. 8 disahkan, tiada pindaan
- SOP pembiayaan perlu ikut format baharu. Pembiayaan sedia draf "dalam 2 minggu"
- Portal MyDPK: IT bentang senarai keperluan e-penyata. Tarikh belum tetap
- Kempen SPKP suku 4: brosur siap sebelum 31/10, semakan Syariah dulu sebelum cetak
- Audit operasi 2 cawangan bulan Nov — ketua pasukan belum putus
- Latihan AI 25/10: semua bahagian hantar wakil</t>
  </si>
  <si>
    <t xml:space="preserve">2 Tidak lengkap</t>
  </si>
  <si>
    <t xml:space="preserve">Mesy. JK Pengurusan DPK Bil. 9/2026 — 14 Okt 2026, 10 pg
- minit Bil. 8 disahkan, tiada pindaan
- SOP pembiayaan perlu ikut format baharu. Pembiayaan sedia draf "dalam 2 minggu"
- Portal MyDPK: IT bentang senarai keperluan e-penyata. Tarikh belum tetap
- Kempen SPKP suku 4: brosur siap sebelum 31/10, semakan Syariah dulu sebelum cetak
- Audit operasi 2 cawangan bulan Nov — ketua pasukan belum putus
- Latihan AI 25/10: semua bahagian hantar wakil</t>
  </si>
  <si>
    <t xml:space="preserve">3 Bercanggah</t>
  </si>
  <si>
    <t xml:space="preserve">Mesy. JK Pengurusan DPK Bil. 9/2026 — 14 Okt 2026, 10 pg
Hadir: Pengurus Kanan (Pengerusi), TPB, KB Pentadbiran, KB Op. Pembiayaan, KB Pelaburan, Eksekutif Syariah. Urus setia: Sekretariat
- minit Bil. 8 disahkan, tiada pindaan
- SOP pembiayaan perlu ikut format baharu. Pembiayaan sedia draf "dalam 2 minggu"
- Portal MyDPK: IT bentang senarai keperluan e-penyata. Tarikh belum tetap
- Kempen SPKP suku 4: brosur siap sebelum 31/10, semakan Syariah dulu sebelum cetak
- Audit operasi 2 cawangan bulan Nov — ketua pasukan belum putus
- Latihan AI 25/10: semua bahagian hantar wakil
- KB Pembiayaan sebut draf SOP siap 21 Okt</t>
  </si>
  <si>
    <t xml:space="preserve">B</t>
  </si>
  <si>
    <t xml:space="preserve">Portfolio (RM juta): Pasaran Wang Islam 60.00 @ 3.5%; Sukuk 70.00 @ 4.2%; Ekuiti patuh Syariah 40.00 @ 6%; Dana luaran (EFM) 30.00 @ 4.8%. Dana ahli layak RM150 juta. Kos operasi RM2.0 juta. Senario agihan 3% dan 6%.</t>
  </si>
  <si>
    <t xml:space="preserve">Portfolio (RM juta): Pasaran Wang Islam 60.00 @ 3.5%; Sukuk 70.00 @ 4.2%; Ekuiti patuh Syariah 40.00 @ 6%; Dana luaran (EFM) 30.00 @ 4.8%. Dana ahli layak RM150 juta. Senario agihan 3% dan 6%.</t>
  </si>
  <si>
    <t xml:space="preserve">Portfolio (RM juta): Pasaran Wang Islam 60.00 @ 3.5%; Sukuk 70.00 @ 4.2%; Ekuiti patuh Syariah 40.00 @ 6%; Dana luaran (EFM) 30.00 @ 4.8%. Jumlah portfolio: RM210 juta. Dana ahli layak RM150 juta. Kos operasi RM2.0 juta. Senario 3% dan 6%.</t>
  </si>
  <si>
    <t xml:space="preserve">C</t>
  </si>
  <si>
    <t xml:space="preserve">Pemohon: PPK Sri Contoh (Data Rekaan); Produk: Pembiayaan Berjangka (Tawarruq); Amaun dipohon: RM350,000; Tempoh: 5 tahun; Tujuan: Modal kerja dan naik taraf gudang. Dokumen diterima: borang, resolusi lembaga PPK, penyata kewangan 2024 dan 2025, pelan perniagaan dan unjuran aliran tunai.</t>
  </si>
  <si>
    <t xml:space="preserve">Pemohon: PPK Sri Contoh (Data Rekaan); Produk: Pembiayaan Berjangka (Tawarruq); Amaun dipohon: RM350,000; Tempoh: 5 tahun. Dokumen diterima: borang, resolusi lembaga PPK.</t>
  </si>
  <si>
    <t xml:space="preserve">Pemohon: PPK Sri Contoh (Data Rekaan); Produk: Pembiayaan Berjangka (Tawarruq); Amaun dipohon: RM350,000; Tempoh: 5 tahun; Tujuan: Modal kerja dan naik taraf gudang. Pelan perniagaan (halaman 4): amaun pembiayaan diperlukan RM380,000.</t>
  </si>
  <si>
    <t xml:space="preserve">D</t>
  </si>
  <si>
    <t xml:space="preserve">Sektor: pemprosesan makanan berasaskan padi | Saiz terbitan: 50 juta saham baharu; harga indikatif RM0.80 sesaham | Kegunaan dana: kilang baharu (60%), modal kerja (30%), kos penyenaraian (10%) | Untung bersih: 2023 RM8.2 juta; 2024 RM9.1 juta; 2025 [tiada dalam ringkasan] | Status Syariah: [tidak dinyatakan dalam ringkasan] | Risiko dinyatakan: harga bahan mentah, cuaca, kebergantungan kepada 3 pelanggan utama</t>
  </si>
  <si>
    <t xml:space="preserve">Sektor: pemprosesan makanan berasaskan padi | Saiz terbitan: 50 juta saham baharu; harga indikatif RM0.80 sesaham | Kegunaan dana: kilang baharu (60%), modal kerja (30%), kos penyenaraian (10%) | Untung bersih: 2023 RM8.2 juta; 2024 RM9.1 juta; 2025 [tiada dalam ringkasan] | Status Syariah: [tidak dinyatakan dalam ringkasan] | Risiko dinyatakan: harga bahan mentah, cuaca, kebergantungan kepada 3 pelanggan utama (Perhatikan: untung 2025 dan status Syariah tiada.)</t>
  </si>
  <si>
    <t xml:space="preserve">Sektor: pemprosesan makanan berasaskan padi | Saiz terbitan: 50 juta saham baharu; harga indikatif RM0.80 sesaham | Kegunaan dana: kilang baharu (60%), modal kerja (30%), kos penyenaraian (10%) | Untung bersih: 2023 RM8.2 juta; 2024 RM9.1 juta; 2025 [tiada dalam ringkasan] | Status Syariah: [tidak dinyatakan dalam ringkasan] | Risiko dinyatakan: harga bahan mentah, cuaca, kebergantungan kepada 3 pelanggan utama | Bahagian ringkasan tawaran: saiz terbitan 45 juta saham baharu.</t>
  </si>
  <si>
    <t xml:space="preserve">E</t>
  </si>
  <si>
    <t xml:space="preserve">Soalan ahli: Berapakah deposit minimum Akaun Simpanan Biasa? (Sumber: tab 4.6)</t>
  </si>
  <si>
    <t xml:space="preserve">Soalan ahli: Berapa lama tempoh maksimum pembiayaan? (produk tidak dinyatakan)</t>
  </si>
  <si>
    <t xml:space="preserve">3 Bercanggah / luar sumber</t>
  </si>
  <si>
    <t xml:space="preserve">Soalan ahli: Berapa dividen SPKP tahun 2026? Kawan saya kata 12%.</t>
  </si>
  <si>
    <t xml:space="preserve">TEMPLAT KERJA KUMPULAN — isi sel kuning</t>
  </si>
  <si>
    <t xml:space="preserve">Medan</t>
  </si>
  <si>
    <t xml:space="preserve">Isian kumpulan</t>
  </si>
  <si>
    <t xml:space="preserve">Kumpulan / Projek</t>
  </si>
  <si>
    <t xml:space="preserve">Pengguna sasaran</t>
  </si>
  <si>
    <t xml:space="preserve">Masalah</t>
  </si>
  <si>
    <t xml:space="preserve">Sumber dibenarkan</t>
  </si>
  <si>
    <t xml:space="preserve">Langkah kerja</t>
  </si>
  <si>
    <t xml:space="preserve">Format output</t>
  </si>
  <si>
    <t xml:space="preserve">Batasan</t>
  </si>
  <si>
    <t xml:space="preserve">Semakan manusia</t>
  </si>
  <si>
    <t xml:space="preserve">Perkara untuk eskalasi</t>
  </si>
  <si>
    <t xml:space="preserve">Ukuran kejayaan</t>
  </si>
  <si>
    <t xml:space="preserve">Hasil dijangka</t>
  </si>
  <si>
    <t xml:space="preserve">Hasil sebenar</t>
  </si>
  <si>
    <t xml:space="preserve">Pembaikan dibuat</t>
  </si>
  <si>
    <t xml:space="preserve">Lulus?</t>
  </si>
  <si>
    <t xml:space="preserve">1 Input lengkap</t>
  </si>
  <si>
    <t xml:space="preserve">Output betul dan ikut format</t>
  </si>
  <si>
    <t xml:space="preserve">2 Input tidak lengkap</t>
  </si>
  <si>
    <t xml:space="preserve">Tanda [PERLU DISAHKAN]; tidak meneka</t>
  </si>
  <si>
    <t xml:space="preserve">3 Input bercanggah</t>
  </si>
  <si>
    <t xml:space="preserve">Kenal pasti percanggahan; eskalasi</t>
  </si>
  <si>
    <t xml:space="preserve">Ukuran</t>
  </si>
  <si>
    <t xml:space="preserve">Sebelum (manual)</t>
  </si>
  <si>
    <t xml:space="preserve">Selepas (termasuk semakan)</t>
  </si>
  <si>
    <t xml:space="preserve">Perubahan</t>
  </si>
  <si>
    <t xml:space="preserve">Diukur?</t>
  </si>
  <si>
    <t xml:space="preserve">Masa siap (minit)</t>
  </si>
  <si>
    <t xml:space="preserve">Bilangan pembetulan</t>
  </si>
  <si>
    <t xml:space="preserve">Kelengkapan output (%)</t>
  </si>
  <si>
    <t xml:space="preserve">Use case</t>
  </si>
  <si>
    <t xml:space="preserve">Data diperlukan</t>
  </si>
  <si>
    <t xml:space="preserve">Contoh: Minit JK Pengurusan</t>
  </si>
  <si>
    <t xml:space="preserve">Sekretariat</t>
  </si>
  <si>
    <t xml:space="preserve">Nota mesyuarat (diluluskan)</t>
  </si>
  <si>
    <t xml:space="preserve">Bina P2-1 versi bahagian; uji 3 input; guna dengan semakan</t>
  </si>
  <si>
    <t xml:space="preserve">Masa siap turun; pembetulan ≤ 2</t>
  </si>
  <si>
    <t xml:space="preserve">Garis dasar (Minggu 1)</t>
  </si>
  <si>
    <t xml:space="preserve">Selepas (Minggu 4)</t>
  </si>
  <si>
    <t xml:space="preserve">PROMPT BOLEH SALIN — gantikan teks dalam [kurungan] mengikut tugasan</t>
  </si>
  <si>
    <t xml:space="preserve">Tugasan</t>
  </si>
  <si>
    <t xml:space="preserve">Aktiviti</t>
  </si>
  <si>
    <t xml:space="preserve">Prompt penuh</t>
  </si>
  <si>
    <t xml:space="preserve">P1-1</t>
  </si>
  <si>
    <t xml:space="preserve">Surat rasmi kekurangan dokumen</t>
  </si>
  <si>
    <t xml:space="preserve">Modul 1</t>
  </si>
  <si>
    <t xml:space="preserve">PERANAN: Anda Pegawai Operasi Pembiayaan DPK yang menyediakan surat rasmi kepada pemohon pembiayaan.
OBJEKTIF: Draf surat memaklumkan dokumen permohonan yang belum lengkap dan meminta dokumen dikemukakan.
KONTEKS: Penerima: Pengerusi [Nama PPK — Data Rekaan]. Nada rasmi, sopan dan jelas dalam Bahasa Melayu surat rasmi.
INPUT: Senarai semak kelengkapan yang saya tampal di bawah (Data Rekaan untuk Latihan).
ARAHAN: Nyatakan rujukan permohonan, senaraikan setiap dokumen yang belum diterima, tetapkan tarikh akhir [TARIKH] dan pegawai untuk dihubungi.
BATASAN: Jangan sebut keputusan kelulusan, kadar keuntungan atau syarat yang tiada dalam input. Maklumat tiada → tulis [PERLU DISAHKAN].
FORMAT OUTPUT: Surat lengkap: rujukan, tarikh, alamat, tajuk huruf besar, perenggan bernombor, penutup dan ruang tandatangan.
KRITERIA SEMAKAN: Semua dokumen dalam senarai disebut; tiada fakta baharu; panjang tidak melebihi satu halaman.</t>
  </si>
  <si>
    <t xml:space="preserve">P1-2</t>
  </si>
  <si>
    <t xml:space="preserve">Ringkasan kertas pembiayaan</t>
  </si>
  <si>
    <t xml:space="preserve">PERANAN: Anda Penganalisis Kredit DPK yang menyediakan ringkasan kertas untuk Jawatankuasa.
OBJEKTIF: Ringkasan satu halaman kertas pembiayaan dilampirkan supaya ahli Jawatankuasa memahami permohonan dalam tiga minit.
KONTEKS: Pembaca ialah ahli Jawatankuasa. DPK beroperasi berlandaskan Syariah; produk dan konsep mesti ikut dokumen.
INPUT: Kertas pembiayaan (fail dilampirkan, Data Rekaan untuk Latihan).
ARAHAN: Ekstrak pemohon, produk dan konsep Syariah, amaun, tempoh, tujuan, sumber bayaran balik, jaminan, risiko utama dan isu belum selesai.
BATASAN: Jangan beri cadangan lulus/tolak. Jangan kira semula angka tanpa formula. Maklumat hilang → [TIADA DALAM DOKUMEN].
FORMAT OUTPUT: Jadual dua lajur (Perkara | Butiran + rujukan halaman), diikuti 3–5 poin risiko dan senarai isu terbuka.
KRITERIA SEMAKAN: Setiap angka ada rujukan halaman; tiada pendapat peribadi; tidak melebihi 350 patah perkataan.</t>
  </si>
  <si>
    <t xml:space="preserve">P1-3</t>
  </si>
  <si>
    <t xml:space="preserve">Kandungan pemasaran produk</t>
  </si>
  <si>
    <t xml:space="preserve">PERANAN: Anda Penulis Kandungan Bahagian Pemasaran &amp; Hal Ehwal Korporat DPK.
OBJEKTIF: Tiga versi kapsyen media sosial dan satu teks brosur ringkas untuk produk [NAMA PRODUK].
KONTEKS: Audiens: peladang dan ahli PPK. Slogan DPK: “Daripada Peladang, Untuk Peladang”. Nada mesra tetapi profesional.
INPUT: Risalah produk yang telah diluluskan (fail dilampirkan).
ARAHAN: Tonjolkan manfaat dan cara memohon; guna Bahasa Melayu mudah; sediakan satu seruan tindakan.
BATASAN: Guna hanya fakta daripada risalah. Jangan janji pulangan, dividen masa hadapan atau kelulusan. Jangan reka statistik.
FORMAT OUTPUT: Jadual: Versi | Kapsyen (≤ 60 patah perkataan) | Hashtag; kemudian teks brosur ≤ 120 patah perkataan.
KRITERIA SEMAKAN: Senaraikan setiap dakwaan produk bersama sumbernya dalam risalah untuk semakan Pemasaran serta Seksyen Syariah &amp; Perundangan.</t>
  </si>
  <si>
    <t xml:space="preserve">P2-1</t>
  </si>
  <si>
    <t xml:space="preserve">Minit dan jadual tindakan</t>
  </si>
  <si>
    <t xml:space="preserve">Kajian Kes 1</t>
  </si>
  <si>
    <t xml:space="preserve">PERANAN: Anda Setiausaha Jawatankuasa Pengurusan DPK.
OBJEKTIF: Hasilkan draf minit mesyuarat dan jadual tindakan daripada nota kasar yang dilampirkan.
KONTEKS: Minit akan disemak oleh Pengerusi sebelum diedarkan kepada ahli. Bahasa Melayu rasmi.
INPUT: Nota mesyuarat (Data Rekaan untuk Latihan).
ARAHAN: Susun mengikut: Kehadiran, Pengesahan Minit, Perkara Berbangkit, Perkara Baharu, Hal-hal Lain. Bagi setiap tindakan, nyatakan pemilik dan tarikh akhir. Tukar tarikh relatif kepada tarikh sebenar berdasarkan tarikh mesyuarat dan tunjukkan kiraannya.
BATASAN: Jangan tambah keputusan atau nama yang tiada dalam nota. Pemilik atau tarikh tidak jelas → [PERLU DISAHKAN]. Jika pemilik hanya disimpulkan, tandakan sebagai disimpulkan.
FORMAT OUTPUT: Minit bernombor, kemudian jadual: Bil | Perkara | Tindakan | Pemilik | Tarikh Akhir | Catatan; akhiri dengan senarai “Perkara untuk pengesahan Pengerusi”.
KRITERIA SEMAKAN: Setiap perkara dalam nota muncul tepat sekali; tiada fakta baharu; semua [PERLU DISAHKAN] disenaraikan untuk Pengerusi.</t>
  </si>
  <si>
    <t xml:space="preserve">P2-2</t>
  </si>
  <si>
    <t xml:space="preserve">Ringkasan pengurusan dan senario agihan</t>
  </si>
  <si>
    <t xml:space="preserve">Kajian Kes 2</t>
  </si>
  <si>
    <t xml:space="preserve">PERANAN: Anda Penganalisis Kewangan DPK yang menyediakan bahan untuk perbincangan pengurusan.
OBJEKTIF: Ringkasan pengurusan dan perbandingan senario kadar agihan 3% dan 6% berdasarkan jadual portfolio rekaan.
KONTEKS: Ini simulasi latihan, bukan model kewangan DPK yang disahkan. Kadar pulangan pelaburan dan kadar agihan kepada ahli ialah dua perkara berbeza.
INPUT: Jadual portfolio (instrumen, nilai RM juta, pulangan tahunan andaian), dana ahli layak agihan RM150 juta, kos operasi andaian RM2.0 juta.
ARAHAN: Kira pendapatan setiap instrumen, pulangan wajaran portfolio, jumlah agihan bagi setiap senario, lebihan/defisit selepas kos, dan kadar agihan maksimum yang boleh ditampung. Tunjukkan formula setiap langkah.
BATASAN: Guna hanya andaian yang diberi. Labelkan semua angka sebagai “Simulasi latihan”. Jangan cadangkan kadar agihan; keputusan kekal pada pihak berautoriti.
FORMAT OUTPUT: Jadual pengiraan, ringkasan pengurusan 5 poin, kemudian bahagian “Risiko dan batasan”.
KRITERIA SEMAKAN: Semua jumlah boleh dikira semula; pulangan dan agihan tidak dicampuradukkan; setiap andaian dinyatakan.</t>
  </si>
  <si>
    <t xml:space="preserve">P3-1</t>
  </si>
  <si>
    <t xml:space="preserve">Pembantu kertas pembiayaan</t>
  </si>
  <si>
    <t xml:space="preserve">Modul 3</t>
  </si>
  <si>
    <t xml:space="preserve">PERANAN: Anda Pembantu Penyediaan Kertas Pembiayaan DPK untuk pegawai Bahagian Operasi Pembiayaan.
OBJEKTIF: Semak kelengkapan permohonan, kenal pasti maklumat belum tersedia, hasilkan ringkasan dan draf kertas untuk disemak pegawai.
KONTEKS: Senarai semak yang digunakan ialah senarai semak latihan, bukan senarai semak rasmi DPK. Pegawai membuat semua keputusan.
INPUT: Maklumat permohonan dan senarai semak (Data Rekaan untuk Latihan).
ARAHAN: Langkah 1 semak setiap item senarai semak; 2 senaraikan maklumat belum tersedia; 3 hasilkan ringkasan permohonan; 4 sediakan draf kertas ikut templat; 5 berhenti dan minta semakan pegawai.
BATASAN: Jangan nilai kelayakan, jangan cadang lulus/tolak, jangan kira kadar keuntungan, jangan hantar notis, jangan ubah rekod.
FORMAT OUTPUT: Jadual kelengkapan (Dokumen | Status | Catatan), status keseluruhan, ringkasan permohonan, draf kertas berlabel DRAF.
KRITERIA SEMAKAN: Setiap status merujuk input; item hilang tidak diteka; output berakhir dengan permintaan semakan pegawai.</t>
  </si>
  <si>
    <t xml:space="preserve">P4-1b</t>
  </si>
  <si>
    <t xml:space="preserve">Pemantauan KPI, ISO dan SOP</t>
  </si>
  <si>
    <t xml:space="preserve">Aktiviti 4.1</t>
  </si>
  <si>
    <t xml:space="preserve">PERANAN: Anda Pegawai Pentadbiran DPK yang memantau tindakan KPI, ISO dan SOP.
OBJEKTIF: Ringkasan status tindakan untuk mesyuarat pengurusan.
KONTEKS: Pembaca ialah pengurusan kanan; mereka perlukan gambaran pantas dan senarai tindakan lewat.
INPUT: Jadual status tindakan (Data Rekaan untuk Latihan): ID, tindakan, pemilik, tarikh sasaran, status.
ARAHAN: Kategorikan Selesai / Dalam tindakan / Lewat berdasarkan tarikh rujukan [TARIKH]; kira bilangan setiap kategori.
BATASAN: Jangan andaikan punca kelewatan; tanda [PERLU DISAHKAN] jika status kosong.
FORMAT OUTPUT: Jadual ringkasan kategori, senarai tindakan lewat (ID | Tindakan | Pemilik | Hari lewat) dan 3 poin pemerhatian.
KRITERIA SEMAKAN: Jumlah semua kategori sama dengan bilangan baris input.</t>
  </si>
  <si>
    <t xml:space="preserve">P4-2a</t>
  </si>
  <si>
    <t xml:space="preserve">Rekonsiliasi penyata bank</t>
  </si>
  <si>
    <t xml:space="preserve">Aktiviti 4.2</t>
  </si>
  <si>
    <t xml:space="preserve">PERANAN: Anda Pegawai Akaun DPK.
OBJEKTIF: Sediakan penyata rekonsiliasi bank bagi bulan Oktober (rekaan).
KONTEKS: Latihan menggunakan Data Rekaan dalam Lampiran; tiada nombor akaun sebenar.
INPUT: Buku tunai dan penyata bank rekaan.
ARAHAN: Padankan mengikut tarikh, amaun dan rujukan; asingkan sepadan, cek belum ditunai, deposit dalam transit dan item bank sahaja.
BATASAN: Jangan buat entri pelarasan; hanya cadangkan untuk semakan akauntan.
FORMAT OUTPUT: Jadual padanan, jadual item tidak sepadan, penyata rekonsiliasi.
KRITERIA SEMAKAN: Baki diselaraskan kedua-dua belah sama, atau perbezaan dinyatakan dengan jelas.</t>
  </si>
  <si>
    <t xml:space="preserve">P4-3a</t>
  </si>
  <si>
    <t xml:space="preserve">Keperluan Portal MyDPK</t>
  </si>
  <si>
    <t xml:space="preserve">Aktiviti 4.3</t>
  </si>
  <si>
    <t xml:space="preserve">PERANAN: Anda Penganalisis Sistem IT DPK.
OBJEKTIF: Draf dokumen keperluan penambahbaikan Portal MyDPK.
KONTEKS: Matlamat bahagian: menaik taraf portal supaya setanding sistem perbankan semasa (dokumen taklimat).
INPUT: Nota keperluan pengguna dan aduan (Data Rekaan).
ARAHAN: Susun: latar, skop, keperluan fungsian (ID | Keterangan | Pengguna | Keutamaan cadangan), keperluan bukan fungsian, isu terbuka.
BATASAN: Jangan andaikan seni bina sistem semasa, vendor atau integrasi sedia ada.
FORMAT OUTPUT: Dokumen bertajuk dengan jadual keperluan.
KRITERIA SEMAKAN: Setiap keperluan boleh dijejak kepada nota sumber.</t>
  </si>
  <si>
    <t xml:space="preserve">P4-4a</t>
  </si>
  <si>
    <t xml:space="preserve">Notis tunggakan pukal</t>
  </si>
  <si>
    <t xml:space="preserve">Aktiviti 4.4</t>
  </si>
  <si>
    <t xml:space="preserve">PERANAN: Anda Pegawai Kawalan Kredit DPK.
OBJEKTIF: Hasilkan satu draf notis peringatan tunggakan bagi setiap baris dalam jadual.
KONTEKS: Notis untuk disemak pegawai sebelum dikeluarkan melalui saluran rasmi. Nada tegas tetapi menghormati penerima.
INPUT: Jadual tunggakan (Data Rekaan untuk Latihan) dan templat notis yang diluluskan.
ARAHAN: Isi templat bagi setiap baris: rujukan, nama, amaun tunggakan, bilangan bulan tertunggak, tarikh akhir penjelasan.
BATASAN: Ambil amaun terus daripada jadual tanpa mengira semula. Jangan kira Ta’widh atau Ibra’; tulis [Ta’widh: ikut pengiraan polisi diluluskan]. Baris dengan data tidak lengkap tidak dijana.
FORMAT OUTPUT: Notis berasingan bagi setiap baris; kemudian jadual “Baris tidak dijana | Sebab”.
KRITERIA SEMAKAN: Amaun sepadan dengan jadual; tiada formula direka; setiap baris tidak lengkap dilaporkan.</t>
  </si>
  <si>
    <t xml:space="preserve">P4-5b</t>
  </si>
  <si>
    <t xml:space="preserve">Senarai semak due diligence</t>
  </si>
  <si>
    <t xml:space="preserve">Aktiviti 4.5</t>
  </si>
  <si>
    <t xml:space="preserve">PERANAN: Anda Pegawai Pelaburan DPK.
OBJEKTIF: Senarai semak due diligence untuk cadangan pelaburan.
KONTEKS: Digunakan sebelum kertas dibawa ke jawatankuasa.
INPUT: Prospektus atau ringkasan pelaburan.
ARAHAN: Bina senarai mengikut kategori: perniagaan, kewangan, tadbir urus, Syariah, perundangan, risiko.
BATASAN: Jangan nyatakan sesuatu telah disahkan; semua item bermula sebagai Belum disemak.
FORMAT OUTPUT: Jadual Kategori | Soalan | Dokumen diperlukan | Status.
KRITERIA SEMAKAN: Setiap kategori mempunyai sekurang-kurangnya 3 soalan.</t>
  </si>
  <si>
    <t xml:space="preserve">P4-6a</t>
  </si>
  <si>
    <t xml:space="preserve">FAQ produk</t>
  </si>
  <si>
    <t xml:space="preserve">Aktiviti 4.6</t>
  </si>
  <si>
    <t xml:space="preserve">PERANAN: Anda Pegawai Khidmat Ahli DPK.
OBJEKTIF: FAQ produk untuk kaunter dan talian khidmat ahli.
KONTEKS: Ahli terdiri daripada Ahli Individu, KAT, PPK dan PPN.
INPUT: Dokumen produk yang diluluskan (dilampirkan).
ARAHAN: Tulis 10 soalan lazim dan jawapan ringkas dengan rujukan dokumen.
BATASAN: Jawapan hanya daripada dokumen; jangan janji kelulusan atau pulangan.
FORMAT OUTPUT: Jadual Soalan | Jawapan | Rujukan.
KRITERIA SEMAKAN: Setiap jawapan dapat dijejak kepada dokumen.</t>
  </si>
  <si>
    <t xml:space="preserve">P4-7a</t>
  </si>
  <si>
    <t xml:space="preserve">Semakan ketepatan dakwaan</t>
  </si>
  <si>
    <t xml:space="preserve">Aktiviti 4.7</t>
  </si>
  <si>
    <t xml:space="preserve">PERANAN: Anda Penyemak Kandungan Pemasaran DPK.
OBJEKTIF: Semak ketepatan dakwaan dalam draf iklan.
KONTEKS: Dakwaan produk kewangan memerlukan ketepatan dan semakan Syariah &amp; perundangan.
INPUT: Draf iklan dan risalah produk diluluskan.
ARAHAN: Senaraikan setiap dakwaan; padankan dengan sumber; berikan status.
BATASAN: Jangan betulkan fakta tanpa sumber; cadangkan pembetulan berasaskan risalah sahaja.
FORMAT OUTPUT: Jadual Dakwaan | Sumber | Status | Cadangan.
KRITERIA SEMAKAN: Semua dakwaan berangka disemak.</t>
  </si>
  <si>
    <t xml:space="preserve">P4-8a</t>
  </si>
  <si>
    <t xml:space="preserve">Penandaarasan produk</t>
  </si>
  <si>
    <t xml:space="preserve">Aktiviti 4.8</t>
  </si>
  <si>
    <t xml:space="preserve">PERANAN: Anda Penganalisis Perniagaan DPK.
OBJEKTIF: Matriks penandaarasan produk pembiayaan setara.
KONTEKS: Untuk pembangunan produk; sumber mesti boleh disahkan.
INPUT: Dokumen awam produk lain yang dikumpul pegawai (atau hasil carian web jika dibenarkan).
ARAHAN: Bandingkan segmen, konsep Syariah dinyatakan, had amaun, tempoh, syarat utama, saluran.
BATASAN: Sel tiada sumber → [TIADA]; nyatakan tarikh sumber.
FORMAT OUTPUT: Matriks dan senarai sumber.
KRITERIA SEMAKAN: Setiap sel berisi mempunyai sumber.</t>
  </si>
  <si>
    <t xml:space="preserve">P4-9b</t>
  </si>
  <si>
    <t xml:space="preserve">Perbandingan dua versi perjanjian</t>
  </si>
  <si>
    <t xml:space="preserve">Aktiviti 4.9</t>
  </si>
  <si>
    <t xml:space="preserve">PERANAN: Anda Pembantu Semakan Awal Seksyen Syariah &amp; Perundangan DPK.
OBJEKTIF: Bandingkan dua versi perjanjian pembiayaan rekaan dan hasilkan daftar isu untuk semakan pakar.
KONTEKS: AI membantu semakan awal sahaja; keputusan kekal pada pegawai, Jawatankuasa Syariah DPK dan pihak berautoriti.
INPUT: Versi A dan Versi B perjanjian (Klausa Rekaan untuk Latihan).
ARAHAN: Ekstrak klausa Ta’widh, Ibra’, tempoh, undang-undang terpakai dan penamatan; bandingkan; nyatakan perubahan dan klausa yang hilang.
BATASAN: Jangan beri pendapat hukum atau nasihat undang-undang. Petik maksimum satu ayat setiap klausa dengan nombor klausa.
FORMAT OUTPUT: Jadual: Klausa | Versi A | Versi B | Perubahan | Soalan untuk pakar.
KRITERIA SEMAKAN: Setiap baris mempunyai nombor klausa; klausa hilang ditanda; tiada kesimpulan hukum.</t>
  </si>
  <si>
    <t xml:space="preserve">P-BCM</t>
  </si>
  <si>
    <t xml:space="preserve">Simulasi pengeluaran 50/70/100% (demo)</t>
  </si>
  <si>
    <t xml:space="preserve">Modul 4 demo</t>
  </si>
  <si>
    <t xml:space="preserve">PERANAN: Anda Pegawai Pelaburan DPK yang menyediakan simulasi kesinambungan perniagaan (BCM).
OBJEKTIF: Simulasi pengeluaran dana ahli sebanyak 50%, 70% dan 100% serta susunan pencairan aset.
KONTEKS: Simulasi latihan berasaskan andaian; bukan polisi pencairan DPK. Data pasaran sebenar (cth. Bloomberg) tidak dianggap tersedia.
INPUT: Dana ahli RM150 juta; aset (RM juta): Pasaran wang 60, Sukuk 70, Ekuiti 40, EFM 30; diskaun pencairan andaian: 0%, 2%, 15%, 5% (EFM notis 30 hari).
ARAHAN: Cairkan aset paling cair dahulu. Bagi setiap senario, kira tunai diperlukan, nilai nominal aset dicairkan, dan kos pencairan (nominal − tunai). Tunjukkan formula.
BATASAN: Guna hanya andaian diberi; jangan cadangkan polisi; nyatakan andaian yang paling sensitif.
FORMAT OUTPUT: Jadual: Senario | Pengeluaran | Susunan pencairan | Nominal dicairkan | Kos pencairan; diikuti 3 pemerhatian dan risiko.
KRITERIA SEMAKAN: Jumlah tunai = pengeluaran bagi setiap senario; pengiraan boleh disemak dalam Excel.</t>
  </si>
  <si>
    <t xml:space="preserve">P5-A</t>
  </si>
  <si>
    <t xml:space="preserve">Arahan tetap Projek A (contoh)</t>
  </si>
  <si>
    <t xml:space="preserve">Modul 5</t>
  </si>
  <si>
    <t xml:space="preserve">PERANAN: Anda Pembantu Sekretariat DPK yang menyediakan draf minit dan jadual tindakan untuk Setiausaha Jawatankuasa.
SKOP: Minit, jadual tindakan dan peringatan status tindakan bagi mesyuarat dalaman. Tidak termasuk surat keluar kepada pihak luar.
SUMBER DIBENARKAN: Nota mesyuarat, agenda, minit lepas dan templat minit yang dimuat naik pengguna. Bukan pengetahuan umum.
LANGKAH KERJA: 1 Semak agenda dan kehadiran. 2 Petakan nota kepada perkara agenda. 3 Draf minit. 4 Bina jadual tindakan. 5 Senaraikan perkara untuk pengesahan.
FORMAT OUTPUT: Minit bernombor ikut templat; jadual Bil | Perkara | Tindakan | Pemilik | Tarikh Akhir | Catatan.
LARANGAN: Jangan reka keputusan, nama, tarikh atau angka. Jangan ubah maksud perbincangan. Jangan masukkan data peribadi yang tidak perlu.
PENGENDALIAN KETIDAKPASTIAN: Tandakan [PERLU DISAHKAN] dan terangkan sebabnya. Jika nota bercanggah, paparkan kedua-dua versi.
ESKALASI: Rujuk Setiausaha jika perkara melibatkan keputusan kewangan, pembiayaan, Syariah, perundangan atau maklumat sulit.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</si>
</sst>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#,##0.00;\(#,##0.00\)"/>
    <numFmt numFmtId="168" formatCode="0.00%"/>
    <numFmt numFmtId="169" formatCode="#,##0.00;\(#,##0.00\);\-"/>
    <numFmt numFmtId="170" formatCode="#,##0.00"/>
    <numFmt numFmtId="171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62624"/>
      <name val="Arial"/>
      <family val="0"/>
      <charset val="1"/>
    </font>
    <font>
      <sz val="11"/>
      <color rgb="FF73726C"/>
      <name val="Arial"/>
      <family val="0"/>
      <charset val="1"/>
    </font>
    <font>
      <sz val="9"/>
      <color rgb="FF73726C"/>
      <name val="Arial"/>
      <family val="0"/>
      <charset val="1"/>
    </font>
    <font>
      <b val="true"/>
      <sz val="10"/>
      <color rgb="FFD97757"/>
      <name val="Arial"/>
      <family val="0"/>
      <charset val="1"/>
    </font>
    <font>
      <b val="true"/>
      <sz val="10"/>
      <color rgb="FF26262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D97757"/>
      <name val="Arial"/>
      <family val="0"/>
      <charset val="1"/>
    </font>
    <font>
      <b val="true"/>
      <sz val="15"/>
      <color rgb="FF26262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73726C"/>
      <name val="Arial"/>
      <family val="0"/>
      <charset val="1"/>
    </font>
    <font>
      <u val="single"/>
      <sz val="9"/>
      <color rgb="FFD97757"/>
      <name val="Arial"/>
      <family val="0"/>
      <charset val="1"/>
    </font>
    <font>
      <sz val="10"/>
      <color rgb="FF262624"/>
      <name val="Arial"/>
      <family val="0"/>
      <charset val="1"/>
    </font>
    <font>
      <sz val="10"/>
      <color rgb="FF262624"/>
      <name val="Courier New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3726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0EEE6"/>
      </patternFill>
    </fill>
    <fill>
      <patternFill patternType="solid">
        <fgColor rgb="FFD97757"/>
        <bgColor rgb="FFFF6600"/>
      </patternFill>
    </fill>
    <fill>
      <patternFill patternType="solid">
        <fgColor rgb="FF262624"/>
        <bgColor rgb="FF333300"/>
      </patternFill>
    </fill>
    <fill>
      <patternFill patternType="solid">
        <fgColor rgb="FFF0EE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DCD3"/>
      </left>
      <right style="thin">
        <color rgb="FFDEDCD3"/>
      </right>
      <top style="thin">
        <color rgb="FFDEDCD3"/>
      </top>
      <bottom style="thin">
        <color rgb="FFDED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26C"/>
      <rgbColor rgb="FF9999FF"/>
      <rgbColor rgb="FF993366"/>
      <rgbColor rgb="FFFFF2CC"/>
      <rgbColor rgb="FFF0EEE6"/>
      <rgbColor rgb="FF660066"/>
      <rgbColor rgb="FFD97757"/>
      <rgbColor rgb="FF0066CC"/>
      <rgbColor rgb="FFDEDC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<Relationship Id="rId2" Type="http://schemas.openxmlformats.org/officeDocument/2006/relationships/hyperlink" Target="Fail_Latihan_Peserta_DPK.xlsx" TargetMode="External"/><Relationship Id="rId3" Type="http://schemas.openxmlformats.org/officeDocument/2006/relationships/hyperlink" Target="Fail_Latihan_Peserta_DPK.xlsx" TargetMode="External"/><Relationship Id="rId4" Type="http://schemas.openxmlformats.org/officeDocument/2006/relationships/hyperlink" Target="Fail_Latihan_Peserta_DPK.xlsx" TargetMode="External"/><Relationship Id="rId5" Type="http://schemas.openxmlformats.org/officeDocument/2006/relationships/hyperlink" Target="Fail_Latihan_Peserta_DPK.xlsx" TargetMode="External"/><Relationship Id="rId6" Type="http://schemas.openxmlformats.org/officeDocument/2006/relationships/hyperlink" Target="Fail_Latihan_Peserta_DPK.xlsx" TargetMode="External"/><Relationship Id="rId7" Type="http://schemas.openxmlformats.org/officeDocument/2006/relationships/hyperlink" Target="Fail_Latihan_Peserta_DPK.xlsx" TargetMode="External"/><Relationship Id="rId8" Type="http://schemas.openxmlformats.org/officeDocument/2006/relationships/hyperlink" Target="Fail_Latihan_Peserta_DPK.xlsx" TargetMode="External"/><Relationship Id="rId9" Type="http://schemas.openxmlformats.org/officeDocument/2006/relationships/hyperlink" Target="Fail_Latihan_Peserta_DPK.xlsx" TargetMode="External"/><Relationship Id="rId10" Type="http://schemas.openxmlformats.org/officeDocument/2006/relationships/hyperlink" Target="Fail_Latihan_Peserta_DPK.xlsx" TargetMode="External"/><Relationship Id="rId11" Type="http://schemas.openxmlformats.org/officeDocument/2006/relationships/hyperlink" Target="Fail_Latihan_Peserta_DPK.xlsx" TargetMode="External"/><Relationship Id="rId12" Type="http://schemas.openxmlformats.org/officeDocument/2006/relationships/hyperlink" Target="Fail_Latihan_Peserta_DPK.xlsx" TargetMode="External"/><Relationship Id="rId13" Type="http://schemas.openxmlformats.org/officeDocument/2006/relationships/hyperlink" Target="Fail_Latihan_Peserta_DPK.xlsx" TargetMode="External"/><Relationship Id="rId14" Type="http://schemas.openxmlformats.org/officeDocument/2006/relationships/hyperlink" Target="Fail_Latihan_Peserta_DPK.xlsx" TargetMode="External"/><Relationship Id="rId15" Type="http://schemas.openxmlformats.org/officeDocument/2006/relationships/hyperlink" Target="Fail_Latihan_Peserta_DPK.xlsx" TargetMode="External"/><Relationship Id="rId16" Type="http://schemas.openxmlformats.org/officeDocument/2006/relationships/hyperlink" Target="Fail_Latihan_Peserta_DPK.xlsx" TargetMode="External"/><Relationship Id="rId17" Type="http://schemas.openxmlformats.org/officeDocument/2006/relationships/hyperlink" Target="Fail_Latihan_Peserta_DPK.xlsx" TargetMode="External"/><Relationship Id="rId18" Type="http://schemas.openxmlformats.org/officeDocument/2006/relationships/hyperlink" Target="Fail_Latihan_Peserta_DPK.xlsx" TargetMode="External"/><Relationship Id="rId19" Type="http://schemas.openxmlformats.org/officeDocument/2006/relationships/hyperlink" Target="Fail_Latihan_Peserta_DPK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Fail_Latihan_Peserta_DPK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6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7" t="s">
        <v>6</v>
      </c>
      <c r="B7" s="6" t="s">
        <v>7</v>
      </c>
    </row>
    <row r="8" customFormat="false" ht="15" hidden="false" customHeight="false" outlineLevel="0" collapsed="false">
      <c r="A8" s="8" t="s">
        <v>8</v>
      </c>
      <c r="B8" s="6" t="s">
        <v>9</v>
      </c>
    </row>
    <row r="9" customFormat="false" ht="15" hidden="false" customHeight="false" outlineLevel="0" collapsed="false">
      <c r="A9" s="9" t="s">
        <v>10</v>
      </c>
      <c r="B9" s="6" t="s">
        <v>11</v>
      </c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10" t="s">
        <v>13</v>
      </c>
      <c r="B12" s="10"/>
      <c r="C12" s="10"/>
    </row>
    <row r="13" customFormat="false" ht="15" hidden="false" customHeight="false" outlineLevel="0" collapsed="false">
      <c r="A13" s="10" t="s">
        <v>14</v>
      </c>
      <c r="B13" s="10"/>
      <c r="C13" s="10"/>
    </row>
    <row r="14" customFormat="false" ht="15" hidden="false" customHeight="false" outlineLevel="0" collapsed="false">
      <c r="A14" s="10" t="s">
        <v>15</v>
      </c>
      <c r="B14" s="10"/>
      <c r="C14" s="10"/>
    </row>
    <row r="15" customFormat="false" ht="15" hidden="false" customHeight="false" outlineLevel="0" collapsed="false">
      <c r="A15" s="10" t="s">
        <v>16</v>
      </c>
      <c r="B15" s="10"/>
      <c r="C15" s="10"/>
    </row>
    <row r="16" customFormat="false" ht="15" hidden="false" customHeight="false" outlineLevel="0" collapsed="false">
      <c r="A16" s="10" t="s">
        <v>17</v>
      </c>
      <c r="B16" s="10"/>
      <c r="C16" s="10"/>
    </row>
    <row r="17" customFormat="false" ht="15" hidden="false" customHeight="false" outlineLevel="0" collapsed="false">
      <c r="A17" s="10" t="s">
        <v>18</v>
      </c>
      <c r="B17" s="10"/>
      <c r="C17" s="10"/>
    </row>
    <row r="19" customFormat="false" ht="15" hidden="false" customHeight="false" outlineLevel="0" collapsed="false">
      <c r="A19" s="11" t="s">
        <v>19</v>
      </c>
      <c r="B19" s="11" t="s">
        <v>20</v>
      </c>
      <c r="C19" s="11" t="s">
        <v>21</v>
      </c>
    </row>
    <row r="20" customFormat="false" ht="22.35" hidden="false" customHeight="false" outlineLevel="0" collapsed="false">
      <c r="A20" s="12" t="s">
        <v>22</v>
      </c>
      <c r="B20" s="13" t="s">
        <v>23</v>
      </c>
      <c r="C20" s="14" t="s">
        <v>24</v>
      </c>
    </row>
    <row r="21" customFormat="false" ht="15" hidden="false" customHeight="false" outlineLevel="0" collapsed="false">
      <c r="A21" s="15" t="s">
        <v>25</v>
      </c>
      <c r="B21" s="16" t="s">
        <v>26</v>
      </c>
      <c r="C21" s="17" t="s">
        <v>27</v>
      </c>
    </row>
    <row r="22" customFormat="false" ht="22.35" hidden="false" customHeight="false" outlineLevel="0" collapsed="false">
      <c r="A22" s="12" t="s">
        <v>28</v>
      </c>
      <c r="B22" s="13" t="s">
        <v>29</v>
      </c>
      <c r="C22" s="14" t="s">
        <v>30</v>
      </c>
    </row>
    <row r="23" customFormat="false" ht="22.35" hidden="false" customHeight="false" outlineLevel="0" collapsed="false">
      <c r="A23" s="15" t="s">
        <v>31</v>
      </c>
      <c r="B23" s="16" t="s">
        <v>32</v>
      </c>
      <c r="C23" s="17" t="s">
        <v>33</v>
      </c>
    </row>
    <row r="24" customFormat="false" ht="15" hidden="false" customHeight="false" outlineLevel="0" collapsed="false">
      <c r="A24" s="12" t="s">
        <v>34</v>
      </c>
      <c r="B24" s="13" t="s">
        <v>35</v>
      </c>
      <c r="C24" s="14" t="s">
        <v>36</v>
      </c>
    </row>
    <row r="25" customFormat="false" ht="15" hidden="false" customHeight="false" outlineLevel="0" collapsed="false">
      <c r="A25" s="15" t="s">
        <v>37</v>
      </c>
      <c r="B25" s="16" t="s">
        <v>38</v>
      </c>
      <c r="C25" s="17" t="s">
        <v>39</v>
      </c>
    </row>
    <row r="26" customFormat="false" ht="15" hidden="false" customHeight="false" outlineLevel="0" collapsed="false">
      <c r="A26" s="12" t="s">
        <v>40</v>
      </c>
      <c r="B26" s="13" t="s">
        <v>41</v>
      </c>
      <c r="C26" s="14" t="s">
        <v>42</v>
      </c>
    </row>
    <row r="27" customFormat="false" ht="15" hidden="false" customHeight="false" outlineLevel="0" collapsed="false">
      <c r="A27" s="15" t="s">
        <v>43</v>
      </c>
      <c r="B27" s="16" t="s">
        <v>44</v>
      </c>
      <c r="C27" s="17" t="s">
        <v>45</v>
      </c>
    </row>
    <row r="28" customFormat="false" ht="15" hidden="false" customHeight="false" outlineLevel="0" collapsed="false">
      <c r="A28" s="12" t="s">
        <v>46</v>
      </c>
      <c r="B28" s="13" t="s">
        <v>47</v>
      </c>
      <c r="C28" s="14" t="s">
        <v>48</v>
      </c>
    </row>
    <row r="29" customFormat="false" ht="15" hidden="false" customHeight="false" outlineLevel="0" collapsed="false">
      <c r="A29" s="15" t="s">
        <v>49</v>
      </c>
      <c r="B29" s="16" t="s">
        <v>50</v>
      </c>
      <c r="C29" s="17" t="s">
        <v>51</v>
      </c>
    </row>
    <row r="30" customFormat="false" ht="15" hidden="false" customHeight="false" outlineLevel="0" collapsed="false">
      <c r="A30" s="12" t="s">
        <v>52</v>
      </c>
      <c r="B30" s="13" t="s">
        <v>53</v>
      </c>
      <c r="C30" s="14" t="s">
        <v>54</v>
      </c>
    </row>
    <row r="31" customFormat="false" ht="15" hidden="false" customHeight="false" outlineLevel="0" collapsed="false">
      <c r="A31" s="15" t="s">
        <v>55</v>
      </c>
      <c r="B31" s="16" t="s">
        <v>56</v>
      </c>
      <c r="C31" s="17" t="s">
        <v>57</v>
      </c>
    </row>
    <row r="32" customFormat="false" ht="15" hidden="false" customHeight="false" outlineLevel="0" collapsed="false">
      <c r="A32" s="12" t="s">
        <v>58</v>
      </c>
      <c r="B32" s="13" t="s">
        <v>59</v>
      </c>
      <c r="C32" s="14" t="s">
        <v>60</v>
      </c>
    </row>
    <row r="33" customFormat="false" ht="22.35" hidden="false" customHeight="false" outlineLevel="0" collapsed="false">
      <c r="A33" s="15" t="s">
        <v>61</v>
      </c>
      <c r="B33" s="16" t="s">
        <v>62</v>
      </c>
      <c r="C33" s="17" t="s">
        <v>63</v>
      </c>
    </row>
    <row r="34" customFormat="false" ht="15" hidden="false" customHeight="false" outlineLevel="0" collapsed="false">
      <c r="A34" s="12" t="s">
        <v>64</v>
      </c>
      <c r="B34" s="13" t="s">
        <v>65</v>
      </c>
      <c r="C34" s="14" t="s">
        <v>66</v>
      </c>
    </row>
    <row r="35" customFormat="false" ht="15" hidden="false" customHeight="false" outlineLevel="0" collapsed="false">
      <c r="A35" s="15" t="s">
        <v>67</v>
      </c>
      <c r="B35" s="16" t="s">
        <v>68</v>
      </c>
      <c r="C35" s="17" t="s">
        <v>69</v>
      </c>
    </row>
    <row r="36" customFormat="false" ht="22.35" hidden="false" customHeight="false" outlineLevel="0" collapsed="false">
      <c r="A36" s="12" t="s">
        <v>70</v>
      </c>
      <c r="B36" s="13" t="s">
        <v>71</v>
      </c>
      <c r="C36" s="14" t="s">
        <v>72</v>
      </c>
    </row>
    <row r="37" customFormat="false" ht="22.35" hidden="false" customHeight="false" outlineLevel="0" collapsed="false">
      <c r="A37" s="15" t="s">
        <v>73</v>
      </c>
      <c r="B37" s="16" t="s">
        <v>74</v>
      </c>
      <c r="C37" s="17" t="s">
        <v>75</v>
      </c>
    </row>
    <row r="38" customFormat="false" ht="15" hidden="false" customHeight="false" outlineLevel="0" collapsed="false">
      <c r="A38" s="12" t="s">
        <v>76</v>
      </c>
      <c r="B38" s="13" t="s">
        <v>77</v>
      </c>
      <c r="C38" s="14" t="s">
        <v>78</v>
      </c>
    </row>
  </sheetData>
  <mergeCells count="6">
    <mergeCell ref="A12:C12"/>
    <mergeCell ref="A13:C13"/>
    <mergeCell ref="A14:C14"/>
    <mergeCell ref="A15:C15"/>
    <mergeCell ref="A16:C16"/>
    <mergeCell ref="A17:C17"/>
  </mergeCells>
  <hyperlinks>
    <hyperlink ref="A20" r:id="rId1" location="'A1%20Power%20Prompt'!A1" display="A1 Power Prompt"/>
    <hyperlink ref="A21" r:id="rId2" location="'KK1%20Nota%20Mesyuarat'!A1" display="KK1 Nota Mesyuarat"/>
    <hyperlink ref="A22" r:id="rId3" location="'KK2%20Portfolio'!A1" display="KK2 Portfolio"/>
    <hyperlink ref="A23" r:id="rId4" location="'M3%20Permohonan'!A1" display="M3 Permohonan"/>
    <hyperlink ref="A24" r:id="rId5" location="'4.1%20Status%20KPI'!A1" display="4.1 Status KPI"/>
    <hyperlink ref="A25" r:id="rId6" location="'4.2%20Rekonsiliasi'!A1" display="4.2 Rekonsiliasi"/>
    <hyperlink ref="A26" r:id="rId7" location="'4.3%20Nota%20MyDPK'!A1" display="4.3 Nota MyDPK"/>
    <hyperlink ref="A27" r:id="rId8" location="'4.4%20Tunggakan'!A1" display="4.4 Tunggakan"/>
    <hyperlink ref="A28" r:id="rId9" location="'4.5%20Prospektus'!A1" display="4.5 Prospektus"/>
    <hyperlink ref="A29" r:id="rId10" location="'4.6%20Produk%20DPK'!A1" display="4.6 Produk DPK"/>
    <hyperlink ref="A30" r:id="rId11" location="'4.7%20Draf%20Iklan'!A1" display="4.7 Draf Iklan"/>
    <hyperlink ref="A31" r:id="rId12" location="'4.8%20Produk%20Rekaan'!A1" display="4.8 Produk Rekaan"/>
    <hyperlink ref="A32" r:id="rId13" location="'4.9%20Klausa'!A1" display="4.9 Klausa"/>
    <hyperlink ref="A33" r:id="rId14" location="'Demo%20BCM'!A1" display="Demo BCM"/>
    <hyperlink ref="A34" r:id="rId15" location="'M5%20Bahan%20Ujian'!A1" display="M5 Bahan Ujian"/>
    <hyperlink ref="A35" r:id="rId16" location="'M5%20Lembaran%20Reka'!A1" display="M5 Lembaran Reka"/>
    <hyperlink ref="A36" r:id="rId17" location="'M5%20Ujian%20&amp;%20Ukuran'!A1" display="M5 Ujian &amp; Ukuran"/>
    <hyperlink ref="A37" r:id="rId18" location="'Pelan%2030%20Hari'!A1" display="Pelan 30 Hari"/>
    <hyperlink ref="A38" r:id="rId19" location="'Bank%20Prompt'!A1" display="Bank Promp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60"/>
  </cols>
  <sheetData>
    <row r="1" customFormat="false" ht="18.55" hidden="false" customHeight="false" outlineLevel="0" collapsed="false">
      <c r="A1" s="18" t="s">
        <v>23</v>
      </c>
    </row>
    <row r="2" customFormat="false" ht="15" hidden="false" customHeight="false" outlineLevel="0" collapsed="false">
      <c r="A2" s="19" t="s">
        <v>79</v>
      </c>
      <c r="B2" s="19"/>
      <c r="C2" s="19"/>
    </row>
    <row r="3" customFormat="false" ht="15" hidden="false" customHeight="false" outlineLevel="0" collapsed="false">
      <c r="A3" s="20" t="s">
        <v>24</v>
      </c>
      <c r="B3" s="20"/>
      <c r="C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81</v>
      </c>
      <c r="B6" s="22" t="s">
        <v>82</v>
      </c>
      <c r="C6" s="22" t="s">
        <v>83</v>
      </c>
    </row>
    <row r="7" customFormat="false" ht="42" hidden="false" customHeight="true" outlineLevel="0" collapsed="false">
      <c r="A7" s="23" t="s">
        <v>84</v>
      </c>
      <c r="B7" s="23" t="s">
        <v>85</v>
      </c>
      <c r="C7" s="24"/>
    </row>
    <row r="8" customFormat="false" ht="42" hidden="false" customHeight="true" outlineLevel="0" collapsed="false">
      <c r="A8" s="25" t="s">
        <v>86</v>
      </c>
      <c r="B8" s="25" t="s">
        <v>87</v>
      </c>
      <c r="C8" s="24"/>
    </row>
    <row r="9" customFormat="false" ht="42" hidden="false" customHeight="true" outlineLevel="0" collapsed="false">
      <c r="A9" s="23" t="s">
        <v>88</v>
      </c>
      <c r="B9" s="23" t="s">
        <v>89</v>
      </c>
      <c r="C9" s="24"/>
    </row>
    <row r="10" customFormat="false" ht="42" hidden="false" customHeight="true" outlineLevel="0" collapsed="false">
      <c r="A10" s="25" t="s">
        <v>90</v>
      </c>
      <c r="B10" s="25" t="s">
        <v>91</v>
      </c>
      <c r="C10" s="24"/>
    </row>
    <row r="11" customFormat="false" ht="42" hidden="false" customHeight="true" outlineLevel="0" collapsed="false">
      <c r="A11" s="23" t="s">
        <v>92</v>
      </c>
      <c r="B11" s="23" t="s">
        <v>93</v>
      </c>
      <c r="C11" s="24"/>
    </row>
    <row r="12" customFormat="false" ht="42" hidden="false" customHeight="true" outlineLevel="0" collapsed="false">
      <c r="A12" s="25" t="s">
        <v>94</v>
      </c>
      <c r="B12" s="25" t="s">
        <v>95</v>
      </c>
      <c r="C12" s="24"/>
    </row>
    <row r="13" customFormat="false" ht="42" hidden="false" customHeight="true" outlineLevel="0" collapsed="false">
      <c r="A13" s="23" t="s">
        <v>96</v>
      </c>
      <c r="B13" s="23" t="s">
        <v>97</v>
      </c>
      <c r="C13" s="24"/>
    </row>
    <row r="14" customFormat="false" ht="42" hidden="false" customHeight="true" outlineLevel="0" collapsed="false">
      <c r="A14" s="25" t="s">
        <v>98</v>
      </c>
      <c r="B14" s="25" t="s">
        <v>99</v>
      </c>
      <c r="C14" s="24"/>
    </row>
    <row r="15" customFormat="false" ht="42" hidden="false" customHeight="true" outlineLevel="0" collapsed="false">
      <c r="A15" s="23" t="s">
        <v>100</v>
      </c>
      <c r="B15" s="23" t="s">
        <v>101</v>
      </c>
      <c r="C15" s="24"/>
    </row>
    <row r="16" customFormat="false" ht="42" hidden="false" customHeight="true" outlineLevel="0" collapsed="false">
      <c r="A16" s="25" t="s">
        <v>102</v>
      </c>
      <c r="B16" s="25" t="s">
        <v>103</v>
      </c>
      <c r="C16" s="24"/>
    </row>
  </sheetData>
  <mergeCells count="2">
    <mergeCell ref="A2:C2"/>
    <mergeCell ref="A3:C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8" t="s">
        <v>26</v>
      </c>
    </row>
    <row r="2" customFormat="false" ht="15" hidden="false" customHeight="false" outlineLevel="0" collapsed="false">
      <c r="A2" s="26" t="s">
        <v>104</v>
      </c>
    </row>
    <row r="3" customFormat="false" ht="15" hidden="false" customHeight="false" outlineLevel="0" collapsed="false">
      <c r="A3" s="27" t="s">
        <v>27</v>
      </c>
    </row>
    <row r="4" customFormat="false" ht="11.9" hidden="false" customHeight="false" outlineLevel="0" collapsed="false">
      <c r="A4" s="21" t="s">
        <v>80</v>
      </c>
    </row>
    <row r="6" customFormat="false" ht="15" hidden="false" customHeight="false" outlineLevel="0" collapsed="false">
      <c r="A6" s="4" t="s">
        <v>105</v>
      </c>
    </row>
    <row r="7" customFormat="false" ht="15" hidden="false" customHeight="false" outlineLevel="0" collapsed="false">
      <c r="A7" s="28" t="s">
        <v>106</v>
      </c>
    </row>
    <row r="8" customFormat="false" ht="23.85" hidden="false" customHeight="false" outlineLevel="0" collapsed="false">
      <c r="A8" s="28" t="s">
        <v>107</v>
      </c>
    </row>
    <row r="9" customFormat="false" ht="15" hidden="false" customHeight="false" outlineLevel="0" collapsed="false">
      <c r="A9" s="28" t="s">
        <v>108</v>
      </c>
    </row>
    <row r="10" customFormat="false" ht="15" hidden="false" customHeight="false" outlineLevel="0" collapsed="false">
      <c r="A10" s="28" t="s">
        <v>109</v>
      </c>
    </row>
    <row r="11" customFormat="false" ht="15" hidden="false" customHeight="false" outlineLevel="0" collapsed="false">
      <c r="A11" s="28" t="s">
        <v>110</v>
      </c>
    </row>
    <row r="12" customFormat="false" ht="15" hidden="false" customHeight="false" outlineLevel="0" collapsed="false">
      <c r="A12" s="28" t="s">
        <v>111</v>
      </c>
    </row>
    <row r="13" customFormat="false" ht="15" hidden="false" customHeight="false" outlineLevel="0" collapsed="false">
      <c r="A13" s="28" t="s">
        <v>112</v>
      </c>
    </row>
    <row r="14" customFormat="false" ht="15" hidden="false" customHeight="false" outlineLevel="0" collapsed="false">
      <c r="A14" s="28" t="s">
        <v>113</v>
      </c>
    </row>
    <row r="16" customFormat="false" ht="15" hidden="false" customHeight="false" outlineLevel="0" collapsed="false">
      <c r="A16" s="29" t="s">
        <v>114</v>
      </c>
    </row>
    <row r="17" customFormat="false" ht="69.75" hidden="false" customHeight="true" outlineLevel="0" collapsed="false">
      <c r="A17" s="30"/>
    </row>
    <row r="19" customFormat="false" ht="15" hidden="false" customHeight="false" outlineLevel="0" collapsed="false">
      <c r="A19" s="29" t="s">
        <v>115</v>
      </c>
    </row>
    <row r="20" customFormat="false" ht="90" hidden="false" customHeight="true" outlineLevel="0" collapsed="false">
      <c r="A20" s="30"/>
    </row>
  </sheetData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18" t="s">
        <v>29</v>
      </c>
    </row>
    <row r="2" customFormat="false" ht="15" hidden="false" customHeight="false" outlineLevel="0" collapsed="false">
      <c r="A2" s="19" t="s">
        <v>104</v>
      </c>
      <c r="B2" s="19"/>
      <c r="C2" s="19"/>
      <c r="D2" s="19"/>
      <c r="E2" s="19"/>
      <c r="F2" s="19"/>
    </row>
    <row r="3" customFormat="false" ht="15" hidden="false" customHeight="false" outlineLevel="0" collapsed="false">
      <c r="A3" s="20" t="s">
        <v>30</v>
      </c>
      <c r="B3" s="20"/>
      <c r="C3" s="20"/>
      <c r="D3" s="20"/>
      <c r="E3" s="20"/>
      <c r="F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4" t="s">
        <v>116</v>
      </c>
    </row>
    <row r="7" customFormat="false" ht="15" hidden="false" customHeight="false" outlineLevel="0" collapsed="false">
      <c r="A7" s="6" t="s">
        <v>117</v>
      </c>
      <c r="B7" s="31" t="n">
        <v>150</v>
      </c>
    </row>
    <row r="8" customFormat="false" ht="15" hidden="false" customHeight="false" outlineLevel="0" collapsed="false">
      <c r="A8" s="6" t="s">
        <v>118</v>
      </c>
      <c r="B8" s="31" t="n">
        <v>2</v>
      </c>
    </row>
    <row r="9" customFormat="false" ht="15" hidden="false" customHeight="false" outlineLevel="0" collapsed="false">
      <c r="A9" s="6" t="s">
        <v>119</v>
      </c>
      <c r="B9" s="32" t="n">
        <v>0.03</v>
      </c>
    </row>
    <row r="10" customFormat="false" ht="15" hidden="false" customHeight="false" outlineLevel="0" collapsed="false">
      <c r="A10" s="6" t="s">
        <v>120</v>
      </c>
      <c r="B10" s="32" t="n">
        <v>0.06</v>
      </c>
    </row>
    <row r="12" customFormat="false" ht="23.85" hidden="false" customHeight="false" outlineLevel="0" collapsed="false">
      <c r="A12" s="22" t="s">
        <v>121</v>
      </c>
      <c r="B12" s="22" t="s">
        <v>122</v>
      </c>
      <c r="C12" s="22" t="s">
        <v>123</v>
      </c>
      <c r="D12" s="22" t="s">
        <v>124</v>
      </c>
      <c r="E12" s="22" t="s">
        <v>125</v>
      </c>
      <c r="F12" s="22" t="s">
        <v>126</v>
      </c>
    </row>
    <row r="13" customFormat="false" ht="15" hidden="false" customHeight="false" outlineLevel="0" collapsed="false">
      <c r="A13" s="23" t="s">
        <v>127</v>
      </c>
      <c r="B13" s="33" t="n">
        <v>60</v>
      </c>
      <c r="C13" s="34" t="n">
        <v>0.035</v>
      </c>
      <c r="D13" s="24"/>
      <c r="E13" s="35" t="n">
        <f aca="false">B13*C13</f>
        <v>2.1</v>
      </c>
      <c r="F13" s="23" t="str">
        <f aca="false">IF(D13="","",IF(ABS(D13-E13)&lt;0.005,"Ya","Semak"))</f>
        <v/>
      </c>
    </row>
    <row r="14" customFormat="false" ht="15" hidden="false" customHeight="false" outlineLevel="0" collapsed="false">
      <c r="A14" s="25" t="s">
        <v>128</v>
      </c>
      <c r="B14" s="36" t="n">
        <v>70</v>
      </c>
      <c r="C14" s="37" t="n">
        <v>0.042</v>
      </c>
      <c r="D14" s="24"/>
      <c r="E14" s="38" t="n">
        <f aca="false">B14*C14</f>
        <v>2.94</v>
      </c>
      <c r="F14" s="25" t="str">
        <f aca="false">IF(D14="","",IF(ABS(D14-E14)&lt;0.005,"Ya","Semak"))</f>
        <v/>
      </c>
    </row>
    <row r="15" customFormat="false" ht="15" hidden="false" customHeight="false" outlineLevel="0" collapsed="false">
      <c r="A15" s="23" t="s">
        <v>129</v>
      </c>
      <c r="B15" s="33" t="n">
        <v>40</v>
      </c>
      <c r="C15" s="34" t="n">
        <v>0.06</v>
      </c>
      <c r="D15" s="24"/>
      <c r="E15" s="35" t="n">
        <f aca="false">B15*C15</f>
        <v>2.4</v>
      </c>
      <c r="F15" s="23" t="str">
        <f aca="false">IF(D15="","",IF(ABS(D15-E15)&lt;0.005,"Ya","Semak"))</f>
        <v/>
      </c>
    </row>
    <row r="16" customFormat="false" ht="15" hidden="false" customHeight="false" outlineLevel="0" collapsed="false">
      <c r="A16" s="25" t="s">
        <v>130</v>
      </c>
      <c r="B16" s="36" t="n">
        <v>30</v>
      </c>
      <c r="C16" s="37" t="n">
        <v>0.048</v>
      </c>
      <c r="D16" s="24"/>
      <c r="E16" s="38" t="n">
        <f aca="false">B16*C16</f>
        <v>1.44</v>
      </c>
      <c r="F16" s="25" t="str">
        <f aca="false">IF(D16="","",IF(ABS(D16-E16)&lt;0.005,"Ya","Semak"))</f>
        <v/>
      </c>
    </row>
    <row r="17" customFormat="false" ht="15" hidden="false" customHeight="false" outlineLevel="0" collapsed="false">
      <c r="A17" s="39" t="s">
        <v>131</v>
      </c>
      <c r="D17" s="40"/>
      <c r="E17" s="41" t="n">
        <f aca="false">SUM(B13:B16)</f>
        <v>200</v>
      </c>
      <c r="F17" s="42" t="str">
        <f aca="false">IF(D17="","",IF(ABS(D17-E17)&lt;0.0005*MAX(1,ABS(E17)),"Ya","Semak"))</f>
        <v/>
      </c>
    </row>
    <row r="18" customFormat="false" ht="15" hidden="false" customHeight="false" outlineLevel="0" collapsed="false">
      <c r="A18" s="39" t="s">
        <v>132</v>
      </c>
      <c r="D18" s="40"/>
      <c r="E18" s="41" t="n">
        <f aca="false">SUM(E13:E16)</f>
        <v>8.88</v>
      </c>
      <c r="F18" s="42" t="str">
        <f aca="false">IF(D18="","",IF(ABS(D18-E18)&lt;0.0005*MAX(1,ABS(E18)),"Ya","Semak"))</f>
        <v/>
      </c>
    </row>
    <row r="19" customFormat="false" ht="15" hidden="false" customHeight="false" outlineLevel="0" collapsed="false">
      <c r="A19" s="39" t="s">
        <v>133</v>
      </c>
      <c r="D19" s="43"/>
      <c r="E19" s="44" t="n">
        <f aca="false">E18/E17</f>
        <v>0.0444</v>
      </c>
      <c r="F19" s="42" t="str">
        <f aca="false">IF(D19="","",IF(ABS(D19-E19)&lt;0.0005*MAX(1,ABS(E19)),"Ya","Semak"))</f>
        <v/>
      </c>
    </row>
    <row r="20" customFormat="false" ht="15" hidden="false" customHeight="false" outlineLevel="0" collapsed="false">
      <c r="A20" s="39" t="s">
        <v>134</v>
      </c>
      <c r="D20" s="40"/>
      <c r="E20" s="41" t="n">
        <f aca="false">E18-B8</f>
        <v>6.88</v>
      </c>
      <c r="F20" s="42" t="str">
        <f aca="false">IF(D20="","",IF(ABS(D20-E20)&lt;0.0005*MAX(1,ABS(E20)),"Ya","Semak"))</f>
        <v/>
      </c>
    </row>
    <row r="21" customFormat="false" ht="15" hidden="false" customHeight="false" outlineLevel="0" collapsed="false">
      <c r="A21" s="39" t="s">
        <v>135</v>
      </c>
      <c r="D21" s="40"/>
      <c r="E21" s="41" t="n">
        <f aca="false">B7*B9</f>
        <v>4.5</v>
      </c>
      <c r="F21" s="42" t="str">
        <f aca="false">IF(D21="","",IF(ABS(D21-E21)&lt;0.0005*MAX(1,ABS(E21)),"Ya","Semak"))</f>
        <v/>
      </c>
    </row>
    <row r="22" customFormat="false" ht="15" hidden="false" customHeight="false" outlineLevel="0" collapsed="false">
      <c r="A22" s="39" t="s">
        <v>136</v>
      </c>
      <c r="D22" s="40"/>
      <c r="E22" s="41" t="n">
        <f aca="false">B7*B10</f>
        <v>9</v>
      </c>
      <c r="F22" s="42" t="str">
        <f aca="false">IF(D22="","",IF(ABS(D22-E22)&lt;0.0005*MAX(1,ABS(E22)),"Ya","Semak"))</f>
        <v/>
      </c>
    </row>
    <row r="23" customFormat="false" ht="15" hidden="false" customHeight="false" outlineLevel="0" collapsed="false">
      <c r="A23" s="39" t="s">
        <v>137</v>
      </c>
      <c r="D23" s="40"/>
      <c r="E23" s="41" t="n">
        <f aca="false">E20-E21</f>
        <v>2.38</v>
      </c>
      <c r="F23" s="42" t="str">
        <f aca="false">IF(D23="","",IF(ABS(D23-E23)&lt;0.0005*MAX(1,ABS(E23)),"Ya","Semak"))</f>
        <v/>
      </c>
    </row>
    <row r="24" customFormat="false" ht="15" hidden="false" customHeight="false" outlineLevel="0" collapsed="false">
      <c r="A24" s="39" t="s">
        <v>138</v>
      </c>
      <c r="D24" s="40"/>
      <c r="E24" s="41" t="n">
        <f aca="false">E20-E22</f>
        <v>-2.12</v>
      </c>
      <c r="F24" s="42" t="str">
        <f aca="false">IF(D24="","",IF(ABS(D24-E24)&lt;0.0005*MAX(1,ABS(E24)),"Ya","Semak"))</f>
        <v/>
      </c>
    </row>
    <row r="25" customFormat="false" ht="15" hidden="false" customHeight="false" outlineLevel="0" collapsed="false">
      <c r="A25" s="39" t="s">
        <v>139</v>
      </c>
      <c r="D25" s="43"/>
      <c r="E25" s="44" t="n">
        <f aca="false">E20/B7</f>
        <v>0.0458666666666667</v>
      </c>
      <c r="F25" s="42" t="str">
        <f aca="false">IF(D25="","",IF(ABS(D25-E25)&lt;0.0005*MAX(1,ABS(E25)),"Ya","Semak"))</f>
        <v/>
      </c>
    </row>
    <row r="27" customFormat="false" ht="27.75" hidden="false" customHeight="true" outlineLevel="0" collapsed="false">
      <c r="A27" s="45" t="s">
        <v>140</v>
      </c>
      <c r="B27" s="45"/>
      <c r="C27" s="45"/>
      <c r="D27" s="45"/>
      <c r="E27" s="45"/>
      <c r="F27" s="45"/>
    </row>
    <row r="29" customFormat="false" ht="15" hidden="false" customHeight="false" outlineLevel="0" collapsed="false">
      <c r="A29" s="29" t="s">
        <v>141</v>
      </c>
    </row>
    <row r="30" customFormat="false" ht="69.75" hidden="false" customHeight="true" outlineLevel="0" collapsed="false">
      <c r="A30" s="30"/>
      <c r="B30" s="30"/>
      <c r="C30" s="30"/>
      <c r="D30" s="30"/>
      <c r="E30" s="30"/>
      <c r="F30" s="30"/>
    </row>
  </sheetData>
  <mergeCells count="4">
    <mergeCell ref="A2:F2"/>
    <mergeCell ref="A3:F3"/>
    <mergeCell ref="A27:F27"/>
    <mergeCell ref="A30:F30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</cols>
  <sheetData>
    <row r="1" customFormat="false" ht="18.55" hidden="false" customHeight="false" outlineLevel="0" collapsed="false">
      <c r="A1" s="18" t="s">
        <v>32</v>
      </c>
    </row>
    <row r="2" customFormat="false" ht="15" hidden="false" customHeight="false" outlineLevel="0" collapsed="false">
      <c r="A2" s="19" t="s">
        <v>104</v>
      </c>
      <c r="B2" s="19"/>
    </row>
    <row r="3" customFormat="false" ht="15" hidden="false" customHeight="false" outlineLevel="0" collapsed="false">
      <c r="A3" s="20" t="s">
        <v>33</v>
      </c>
      <c r="B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142</v>
      </c>
      <c r="B6" s="22" t="s">
        <v>143</v>
      </c>
    </row>
    <row r="7" customFormat="false" ht="15" hidden="false" customHeight="false" outlineLevel="0" collapsed="false">
      <c r="A7" s="23" t="s">
        <v>144</v>
      </c>
      <c r="B7" s="23" t="s">
        <v>145</v>
      </c>
    </row>
    <row r="8" customFormat="false" ht="15" hidden="false" customHeight="false" outlineLevel="0" collapsed="false">
      <c r="A8" s="25" t="s">
        <v>146</v>
      </c>
      <c r="B8" s="25" t="s">
        <v>147</v>
      </c>
    </row>
    <row r="9" customFormat="false" ht="15" hidden="false" customHeight="false" outlineLevel="0" collapsed="false">
      <c r="A9" s="23" t="s">
        <v>148</v>
      </c>
      <c r="B9" s="23" t="s">
        <v>149</v>
      </c>
    </row>
    <row r="10" customFormat="false" ht="15" hidden="false" customHeight="false" outlineLevel="0" collapsed="false">
      <c r="A10" s="25" t="s">
        <v>150</v>
      </c>
      <c r="B10" s="25" t="s">
        <v>151</v>
      </c>
    </row>
    <row r="11" customFormat="false" ht="15" hidden="false" customHeight="false" outlineLevel="0" collapsed="false">
      <c r="A11" s="23" t="s">
        <v>152</v>
      </c>
      <c r="B11" s="23" t="s">
        <v>153</v>
      </c>
    </row>
    <row r="13" customFormat="false" ht="15" hidden="false" customHeight="false" outlineLevel="0" collapsed="false">
      <c r="A13" s="22" t="s">
        <v>154</v>
      </c>
      <c r="B13" s="22" t="s">
        <v>155</v>
      </c>
    </row>
    <row r="14" customFormat="false" ht="15" hidden="false" customHeight="false" outlineLevel="0" collapsed="false">
      <c r="A14" s="23" t="s">
        <v>156</v>
      </c>
      <c r="B14" s="23" t="s">
        <v>157</v>
      </c>
    </row>
    <row r="15" customFormat="false" ht="15" hidden="false" customHeight="false" outlineLevel="0" collapsed="false">
      <c r="A15" s="25" t="s">
        <v>158</v>
      </c>
      <c r="B15" s="25" t="s">
        <v>157</v>
      </c>
    </row>
    <row r="16" customFormat="false" ht="15" hidden="false" customHeight="false" outlineLevel="0" collapsed="false">
      <c r="A16" s="23" t="s">
        <v>159</v>
      </c>
      <c r="B16" s="23" t="s">
        <v>160</v>
      </c>
    </row>
    <row r="17" customFormat="false" ht="15" hidden="false" customHeight="false" outlineLevel="0" collapsed="false">
      <c r="A17" s="25" t="s">
        <v>161</v>
      </c>
      <c r="B17" s="25" t="s">
        <v>157</v>
      </c>
    </row>
    <row r="18" customFormat="false" ht="15" hidden="false" customHeight="false" outlineLevel="0" collapsed="false">
      <c r="A18" s="23" t="s">
        <v>162</v>
      </c>
      <c r="B18" s="23" t="s">
        <v>163</v>
      </c>
    </row>
    <row r="19" customFormat="false" ht="15" hidden="false" customHeight="false" outlineLevel="0" collapsed="false">
      <c r="A19" s="25" t="s">
        <v>164</v>
      </c>
      <c r="B19" s="25" t="s">
        <v>165</v>
      </c>
    </row>
    <row r="21" customFormat="false" ht="27.75" hidden="false" customHeight="true" outlineLevel="0" collapsed="false">
      <c r="A21" s="45" t="s">
        <v>166</v>
      </c>
      <c r="B21" s="45"/>
    </row>
  </sheetData>
  <mergeCells count="3">
    <mergeCell ref="A2:B2"/>
    <mergeCell ref="A3:B3"/>
    <mergeCell ref="A21:B21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5" min="4" style="0" width="16"/>
  </cols>
  <sheetData>
    <row r="1" customFormat="false" ht="18.55" hidden="false" customHeight="false" outlineLevel="0" collapsed="false">
      <c r="A1" s="18" t="s">
        <v>35</v>
      </c>
    </row>
    <row r="2" customFormat="false" ht="15" hidden="false" customHeight="false" outlineLevel="0" collapsed="false">
      <c r="A2" s="19" t="s">
        <v>104</v>
      </c>
      <c r="B2" s="19"/>
      <c r="C2" s="19"/>
      <c r="D2" s="19"/>
      <c r="E2" s="19"/>
    </row>
    <row r="3" customFormat="false" ht="15" hidden="false" customHeight="false" outlineLevel="0" collapsed="false">
      <c r="A3" s="20" t="s">
        <v>36</v>
      </c>
      <c r="B3" s="20"/>
      <c r="C3" s="20"/>
      <c r="D3" s="20"/>
      <c r="E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167</v>
      </c>
      <c r="B6" s="22" t="s">
        <v>168</v>
      </c>
      <c r="C6" s="22" t="s">
        <v>169</v>
      </c>
      <c r="D6" s="22" t="s">
        <v>170</v>
      </c>
      <c r="E6" s="22" t="s">
        <v>171</v>
      </c>
    </row>
    <row r="7" customFormat="false" ht="15" hidden="false" customHeight="false" outlineLevel="0" collapsed="false">
      <c r="A7" s="23" t="s">
        <v>172</v>
      </c>
      <c r="B7" s="23" t="s">
        <v>173</v>
      </c>
      <c r="C7" s="23" t="s">
        <v>174</v>
      </c>
      <c r="D7" s="23" t="s">
        <v>175</v>
      </c>
      <c r="E7" s="23" t="s">
        <v>176</v>
      </c>
    </row>
    <row r="8" customFormat="false" ht="15" hidden="false" customHeight="false" outlineLevel="0" collapsed="false">
      <c r="A8" s="25" t="s">
        <v>177</v>
      </c>
      <c r="B8" s="25" t="s">
        <v>178</v>
      </c>
      <c r="C8" s="25" t="s">
        <v>174</v>
      </c>
      <c r="D8" s="25" t="s">
        <v>179</v>
      </c>
      <c r="E8" s="25" t="s">
        <v>180</v>
      </c>
    </row>
    <row r="9" customFormat="false" ht="15" hidden="false" customHeight="false" outlineLevel="0" collapsed="false">
      <c r="A9" s="23" t="s">
        <v>181</v>
      </c>
      <c r="B9" s="23" t="s">
        <v>182</v>
      </c>
      <c r="C9" s="23" t="s">
        <v>183</v>
      </c>
      <c r="D9" s="23" t="s">
        <v>184</v>
      </c>
      <c r="E9" s="23" t="s">
        <v>180</v>
      </c>
    </row>
    <row r="10" customFormat="false" ht="15" hidden="false" customHeight="false" outlineLevel="0" collapsed="false">
      <c r="A10" s="25" t="s">
        <v>185</v>
      </c>
      <c r="B10" s="25" t="s">
        <v>186</v>
      </c>
      <c r="C10" s="25" t="s">
        <v>174</v>
      </c>
      <c r="D10" s="25" t="s">
        <v>187</v>
      </c>
      <c r="E10" s="25" t="s">
        <v>176</v>
      </c>
    </row>
    <row r="11" customFormat="false" ht="15" hidden="false" customHeight="false" outlineLevel="0" collapsed="false">
      <c r="A11" s="23" t="s">
        <v>188</v>
      </c>
      <c r="B11" s="23" t="s">
        <v>189</v>
      </c>
      <c r="C11" s="23" t="s">
        <v>190</v>
      </c>
      <c r="D11" s="23" t="s">
        <v>191</v>
      </c>
      <c r="E11" s="23"/>
    </row>
    <row r="12" customFormat="false" ht="15" hidden="false" customHeight="false" outlineLevel="0" collapsed="false">
      <c r="A12" s="25" t="s">
        <v>192</v>
      </c>
      <c r="B12" s="25" t="s">
        <v>193</v>
      </c>
      <c r="C12" s="25" t="s">
        <v>190</v>
      </c>
      <c r="D12" s="25" t="s">
        <v>194</v>
      </c>
      <c r="E12" s="25" t="s">
        <v>180</v>
      </c>
    </row>
  </sheetData>
  <mergeCells count="2">
    <mergeCell ref="A2:E2"/>
    <mergeCell ref="A3:E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16"/>
  </cols>
  <sheetData>
    <row r="1" customFormat="false" ht="18.55" hidden="false" customHeight="false" outlineLevel="0" collapsed="false">
      <c r="A1" s="18" t="s">
        <v>38</v>
      </c>
    </row>
    <row r="2" customFormat="false" ht="15" hidden="false" customHeight="false" outlineLevel="0" collapsed="false">
      <c r="A2" s="19" t="s">
        <v>104</v>
      </c>
      <c r="B2" s="19"/>
      <c r="C2" s="19"/>
      <c r="D2" s="19"/>
      <c r="E2" s="19"/>
      <c r="F2" s="19"/>
      <c r="G2" s="19"/>
    </row>
    <row r="3" customFormat="false" ht="15" hidden="false" customHeight="false" outlineLevel="0" collapsed="false">
      <c r="A3" s="20" t="s">
        <v>39</v>
      </c>
      <c r="B3" s="20"/>
      <c r="C3" s="20"/>
      <c r="D3" s="20"/>
      <c r="E3" s="20"/>
      <c r="F3" s="20"/>
      <c r="G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195</v>
      </c>
      <c r="B6" s="22" t="s">
        <v>196</v>
      </c>
      <c r="C6" s="22" t="s">
        <v>197</v>
      </c>
      <c r="E6" s="22" t="s">
        <v>195</v>
      </c>
      <c r="F6" s="22" t="s">
        <v>198</v>
      </c>
      <c r="G6" s="22" t="s">
        <v>197</v>
      </c>
    </row>
    <row r="7" customFormat="false" ht="15" hidden="false" customHeight="false" outlineLevel="0" collapsed="false">
      <c r="A7" s="23" t="s">
        <v>199</v>
      </c>
      <c r="B7" s="23" t="s">
        <v>200</v>
      </c>
      <c r="C7" s="46" t="n">
        <v>250000</v>
      </c>
      <c r="E7" s="23" t="s">
        <v>199</v>
      </c>
      <c r="F7" s="23" t="s">
        <v>200</v>
      </c>
      <c r="G7" s="46" t="n">
        <v>250000</v>
      </c>
    </row>
    <row r="8" customFormat="false" ht="15" hidden="false" customHeight="false" outlineLevel="0" collapsed="false">
      <c r="A8" s="25" t="s">
        <v>201</v>
      </c>
      <c r="B8" s="25" t="s">
        <v>202</v>
      </c>
      <c r="C8" s="47" t="n">
        <v>12450</v>
      </c>
      <c r="E8" s="25" t="s">
        <v>201</v>
      </c>
      <c r="F8" s="25" t="s">
        <v>203</v>
      </c>
      <c r="G8" s="47" t="n">
        <v>12450</v>
      </c>
    </row>
    <row r="9" customFormat="false" ht="15" hidden="false" customHeight="false" outlineLevel="0" collapsed="false">
      <c r="A9" s="23" t="s">
        <v>204</v>
      </c>
      <c r="B9" s="23" t="s">
        <v>205</v>
      </c>
      <c r="C9" s="46" t="n">
        <v>-8200</v>
      </c>
      <c r="E9" s="23" t="s">
        <v>206</v>
      </c>
      <c r="F9" s="23" t="s">
        <v>207</v>
      </c>
      <c r="G9" s="46" t="n">
        <v>9800</v>
      </c>
    </row>
    <row r="10" customFormat="false" ht="15" hidden="false" customHeight="false" outlineLevel="0" collapsed="false">
      <c r="A10" s="25" t="s">
        <v>206</v>
      </c>
      <c r="B10" s="25" t="s">
        <v>208</v>
      </c>
      <c r="C10" s="47" t="n">
        <v>9800</v>
      </c>
      <c r="E10" s="25" t="s">
        <v>209</v>
      </c>
      <c r="F10" s="25" t="s">
        <v>210</v>
      </c>
      <c r="G10" s="47" t="n">
        <v>-1350</v>
      </c>
    </row>
    <row r="11" customFormat="false" ht="15" hidden="false" customHeight="false" outlineLevel="0" collapsed="false">
      <c r="A11" s="23" t="s">
        <v>211</v>
      </c>
      <c r="B11" s="23" t="s">
        <v>212</v>
      </c>
      <c r="C11" s="46" t="n">
        <v>5600</v>
      </c>
      <c r="E11" s="23" t="s">
        <v>213</v>
      </c>
      <c r="F11" s="23" t="s">
        <v>214</v>
      </c>
      <c r="G11" s="46" t="n">
        <v>-25</v>
      </c>
    </row>
    <row r="12" customFormat="false" ht="15" hidden="false" customHeight="false" outlineLevel="0" collapsed="false">
      <c r="A12" s="25" t="s">
        <v>209</v>
      </c>
      <c r="B12" s="25" t="s">
        <v>215</v>
      </c>
      <c r="C12" s="47" t="n">
        <v>-1350</v>
      </c>
      <c r="E12" s="25"/>
      <c r="F12" s="25" t="s">
        <v>216</v>
      </c>
      <c r="G12" s="47" t="n">
        <v>270875</v>
      </c>
    </row>
    <row r="13" customFormat="false" ht="15" hidden="false" customHeight="false" outlineLevel="0" collapsed="false">
      <c r="A13" s="23"/>
      <c r="B13" s="23" t="s">
        <v>217</v>
      </c>
      <c r="C13" s="46" t="n">
        <v>268300</v>
      </c>
    </row>
    <row r="16" customFormat="false" ht="15" hidden="false" customHeight="false" outlineLevel="0" collapsed="false">
      <c r="A16" s="4" t="s">
        <v>218</v>
      </c>
    </row>
    <row r="17" customFormat="false" ht="15" hidden="false" customHeight="false" outlineLevel="0" collapsed="false">
      <c r="B17" s="39" t="s">
        <v>216</v>
      </c>
      <c r="C17" s="48" t="n">
        <f aca="false">G12</f>
        <v>270875</v>
      </c>
    </row>
    <row r="18" customFormat="false" ht="15" hidden="false" customHeight="false" outlineLevel="0" collapsed="false">
      <c r="B18" s="49" t="s">
        <v>219</v>
      </c>
      <c r="C18" s="50"/>
    </row>
    <row r="19" customFormat="false" ht="15" hidden="false" customHeight="false" outlineLevel="0" collapsed="false">
      <c r="B19" s="49" t="s">
        <v>220</v>
      </c>
      <c r="C19" s="50"/>
    </row>
    <row r="20" customFormat="false" ht="15" hidden="false" customHeight="false" outlineLevel="0" collapsed="false">
      <c r="B20" s="39" t="s">
        <v>221</v>
      </c>
      <c r="C20" s="48" t="n">
        <f aca="false">C17-C18+C19</f>
        <v>270875</v>
      </c>
    </row>
    <row r="21" customFormat="false" ht="15" hidden="false" customHeight="false" outlineLevel="0" collapsed="false">
      <c r="B21" s="39" t="s">
        <v>217</v>
      </c>
      <c r="C21" s="48" t="n">
        <f aca="false">C13</f>
        <v>268300</v>
      </c>
    </row>
    <row r="22" customFormat="false" ht="15" hidden="false" customHeight="false" outlineLevel="0" collapsed="false">
      <c r="B22" s="49" t="s">
        <v>222</v>
      </c>
      <c r="C22" s="50"/>
    </row>
    <row r="23" customFormat="false" ht="15" hidden="false" customHeight="false" outlineLevel="0" collapsed="false">
      <c r="B23" s="39" t="s">
        <v>223</v>
      </c>
      <c r="C23" s="48" t="n">
        <f aca="false">C21-C22</f>
        <v>268300</v>
      </c>
    </row>
    <row r="24" customFormat="false" ht="15" hidden="false" customHeight="false" outlineLevel="0" collapsed="false">
      <c r="B24" s="39" t="s">
        <v>224</v>
      </c>
      <c r="C24" s="48" t="n">
        <f aca="false">C20-C23</f>
        <v>2575</v>
      </c>
    </row>
  </sheetData>
  <mergeCells count="2">
    <mergeCell ref="A2:G2"/>
    <mergeCell ref="A3:G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8" t="s">
        <v>41</v>
      </c>
    </row>
    <row r="2" customFormat="false" ht="15" hidden="false" customHeight="false" outlineLevel="0" collapsed="false">
      <c r="A2" s="26" t="s">
        <v>104</v>
      </c>
    </row>
    <row r="3" customFormat="false" ht="15" hidden="false" customHeight="false" outlineLevel="0" collapsed="false">
      <c r="A3" s="27" t="s">
        <v>42</v>
      </c>
    </row>
    <row r="4" customFormat="false" ht="11.9" hidden="false" customHeight="false" outlineLevel="0" collapsed="false">
      <c r="A4" s="21" t="s">
        <v>80</v>
      </c>
    </row>
    <row r="6" customFormat="false" ht="15" hidden="false" customHeight="false" outlineLevel="0" collapsed="false">
      <c r="A6" s="4" t="s">
        <v>225</v>
      </c>
    </row>
    <row r="7" customFormat="false" ht="15" hidden="false" customHeight="false" outlineLevel="0" collapsed="false">
      <c r="A7" s="51" t="s">
        <v>226</v>
      </c>
    </row>
    <row r="8" customFormat="false" ht="15" hidden="false" customHeight="false" outlineLevel="0" collapsed="false">
      <c r="A8" s="51" t="s">
        <v>227</v>
      </c>
    </row>
    <row r="9" customFormat="false" ht="15" hidden="false" customHeight="false" outlineLevel="0" collapsed="false">
      <c r="A9" s="51" t="s">
        <v>228</v>
      </c>
    </row>
    <row r="10" customFormat="false" ht="15" hidden="false" customHeight="false" outlineLevel="0" collapsed="false">
      <c r="A10" s="51" t="s">
        <v>229</v>
      </c>
    </row>
  </sheetData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5" min="3" style="0" width="16"/>
  </cols>
  <sheetData>
    <row r="1" customFormat="false" ht="18.55" hidden="false" customHeight="false" outlineLevel="0" collapsed="false">
      <c r="A1" s="18" t="s">
        <v>44</v>
      </c>
    </row>
    <row r="2" customFormat="false" ht="15" hidden="false" customHeight="false" outlineLevel="0" collapsed="false">
      <c r="A2" s="19" t="s">
        <v>104</v>
      </c>
      <c r="B2" s="19"/>
      <c r="C2" s="19"/>
      <c r="D2" s="19"/>
      <c r="E2" s="19"/>
    </row>
    <row r="3" customFormat="false" ht="15" hidden="false" customHeight="false" outlineLevel="0" collapsed="false">
      <c r="A3" s="20" t="s">
        <v>45</v>
      </c>
      <c r="B3" s="20"/>
      <c r="C3" s="20"/>
      <c r="D3" s="20"/>
      <c r="E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21</v>
      </c>
      <c r="B6" s="22" t="s">
        <v>230</v>
      </c>
      <c r="C6" s="22" t="s">
        <v>231</v>
      </c>
      <c r="D6" s="22" t="s">
        <v>232</v>
      </c>
      <c r="E6" s="22" t="s">
        <v>233</v>
      </c>
    </row>
    <row r="7" customFormat="false" ht="15" hidden="false" customHeight="false" outlineLevel="0" collapsed="false">
      <c r="A7" s="23" t="s">
        <v>234</v>
      </c>
      <c r="B7" s="23" t="s">
        <v>235</v>
      </c>
      <c r="C7" s="52" t="n">
        <v>12450</v>
      </c>
      <c r="D7" s="23" t="n">
        <v>2</v>
      </c>
      <c r="E7" s="23" t="s">
        <v>236</v>
      </c>
    </row>
    <row r="8" customFormat="false" ht="15" hidden="false" customHeight="false" outlineLevel="0" collapsed="false">
      <c r="A8" s="25" t="s">
        <v>237</v>
      </c>
      <c r="B8" s="25" t="s">
        <v>238</v>
      </c>
      <c r="C8" s="53" t="n">
        <v>8320.5</v>
      </c>
      <c r="D8" s="25" t="n">
        <v>3</v>
      </c>
      <c r="E8" s="25" t="s">
        <v>236</v>
      </c>
    </row>
    <row r="9" customFormat="false" ht="15" hidden="false" customHeight="false" outlineLevel="0" collapsed="false">
      <c r="A9" s="23" t="s">
        <v>239</v>
      </c>
      <c r="B9" s="23" t="s">
        <v>240</v>
      </c>
      <c r="C9" s="52" t="n">
        <v>5100</v>
      </c>
      <c r="D9" s="23" t="n">
        <v>1</v>
      </c>
      <c r="E9" s="23" t="s">
        <v>241</v>
      </c>
    </row>
    <row r="11" customFormat="false" ht="27.75" hidden="false" customHeight="true" outlineLevel="0" collapsed="false">
      <c r="A11" s="45" t="s">
        <v>242</v>
      </c>
      <c r="B11" s="45"/>
      <c r="C11" s="45"/>
      <c r="D11" s="45"/>
      <c r="E11" s="45"/>
    </row>
  </sheetData>
  <mergeCells count="3">
    <mergeCell ref="A2:E2"/>
    <mergeCell ref="A3:E3"/>
    <mergeCell ref="A11:E11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8" t="s">
        <v>47</v>
      </c>
    </row>
    <row r="2" customFormat="false" ht="15" hidden="false" customHeight="false" outlineLevel="0" collapsed="false">
      <c r="A2" s="26" t="s">
        <v>104</v>
      </c>
    </row>
    <row r="3" customFormat="false" ht="15" hidden="false" customHeight="false" outlineLevel="0" collapsed="false">
      <c r="A3" s="27" t="s">
        <v>48</v>
      </c>
    </row>
    <row r="4" customFormat="false" ht="11.9" hidden="false" customHeight="false" outlineLevel="0" collapsed="false">
      <c r="A4" s="21" t="s">
        <v>80</v>
      </c>
    </row>
    <row r="6" customFormat="false" ht="15" hidden="false" customHeight="false" outlineLevel="0" collapsed="false">
      <c r="A6" s="4" t="s">
        <v>243</v>
      </c>
    </row>
    <row r="7" customFormat="false" ht="15" hidden="false" customHeight="false" outlineLevel="0" collapsed="false">
      <c r="A7" s="51" t="s">
        <v>244</v>
      </c>
    </row>
    <row r="8" customFormat="false" ht="15" hidden="false" customHeight="false" outlineLevel="0" collapsed="false">
      <c r="A8" s="51" t="s">
        <v>245</v>
      </c>
    </row>
    <row r="9" customFormat="false" ht="15" hidden="false" customHeight="false" outlineLevel="0" collapsed="false">
      <c r="A9" s="51" t="s">
        <v>246</v>
      </c>
    </row>
    <row r="10" customFormat="false" ht="15" hidden="false" customHeight="false" outlineLevel="0" collapsed="false">
      <c r="A10" s="51" t="s">
        <v>247</v>
      </c>
    </row>
    <row r="11" customFormat="false" ht="15" hidden="false" customHeight="false" outlineLevel="0" collapsed="false">
      <c r="A11" s="51" t="s">
        <v>248</v>
      </c>
    </row>
    <row r="12" customFormat="false" ht="15" hidden="false" customHeight="false" outlineLevel="0" collapsed="false">
      <c r="A12" s="51" t="s">
        <v>249</v>
      </c>
    </row>
  </sheetData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56"/>
  </cols>
  <sheetData>
    <row r="1" customFormat="false" ht="18.55" hidden="false" customHeight="false" outlineLevel="0" collapsed="false">
      <c r="A1" s="18" t="s">
        <v>50</v>
      </c>
    </row>
    <row r="2" customFormat="false" ht="15" hidden="false" customHeight="false" outlineLevel="0" collapsed="false">
      <c r="A2" s="54" t="s">
        <v>250</v>
      </c>
      <c r="B2" s="54"/>
      <c r="C2" s="54"/>
    </row>
    <row r="3" customFormat="false" ht="15" hidden="false" customHeight="false" outlineLevel="0" collapsed="false">
      <c r="A3" s="20" t="s">
        <v>51</v>
      </c>
      <c r="B3" s="20"/>
      <c r="C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146</v>
      </c>
      <c r="B6" s="22" t="s">
        <v>251</v>
      </c>
      <c r="C6" s="22" t="s">
        <v>252</v>
      </c>
    </row>
    <row r="7" customFormat="false" ht="15" hidden="false" customHeight="false" outlineLevel="0" collapsed="false">
      <c r="A7" s="23" t="s">
        <v>253</v>
      </c>
      <c r="B7" s="23" t="s">
        <v>254</v>
      </c>
      <c r="C7" s="23" t="s">
        <v>255</v>
      </c>
    </row>
    <row r="8" customFormat="false" ht="15" hidden="false" customHeight="false" outlineLevel="0" collapsed="false">
      <c r="A8" s="25" t="s">
        <v>256</v>
      </c>
      <c r="B8" s="25" t="s">
        <v>257</v>
      </c>
      <c r="C8" s="25" t="s">
        <v>258</v>
      </c>
    </row>
    <row r="9" customFormat="false" ht="15" hidden="false" customHeight="false" outlineLevel="0" collapsed="false">
      <c r="A9" s="23" t="s">
        <v>259</v>
      </c>
      <c r="B9" s="23" t="s">
        <v>260</v>
      </c>
      <c r="C9" s="23" t="s">
        <v>261</v>
      </c>
    </row>
    <row r="10" customFormat="false" ht="15" hidden="false" customHeight="false" outlineLevel="0" collapsed="false">
      <c r="A10" s="25" t="s">
        <v>262</v>
      </c>
      <c r="B10" s="25" t="s">
        <v>263</v>
      </c>
      <c r="C10" s="25" t="s">
        <v>264</v>
      </c>
    </row>
    <row r="11" customFormat="false" ht="15" hidden="false" customHeight="false" outlineLevel="0" collapsed="false">
      <c r="A11" s="23" t="s">
        <v>265</v>
      </c>
      <c r="B11" s="23" t="s">
        <v>260</v>
      </c>
      <c r="C11" s="23" t="s">
        <v>266</v>
      </c>
    </row>
    <row r="12" customFormat="false" ht="15" hidden="false" customHeight="false" outlineLevel="0" collapsed="false">
      <c r="A12" s="25" t="s">
        <v>267</v>
      </c>
      <c r="B12" s="25" t="s">
        <v>268</v>
      </c>
      <c r="C12" s="25" t="s">
        <v>269</v>
      </c>
    </row>
  </sheetData>
  <mergeCells count="2">
    <mergeCell ref="A2:C2"/>
    <mergeCell ref="A3:C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8" t="s">
        <v>53</v>
      </c>
    </row>
    <row r="2" customFormat="false" ht="15" hidden="false" customHeight="false" outlineLevel="0" collapsed="false">
      <c r="A2" s="26" t="s">
        <v>270</v>
      </c>
    </row>
    <row r="3" customFormat="false" ht="15" hidden="false" customHeight="false" outlineLevel="0" collapsed="false">
      <c r="A3" s="27" t="s">
        <v>54</v>
      </c>
    </row>
    <row r="4" customFormat="false" ht="11.9" hidden="false" customHeight="false" outlineLevel="0" collapsed="false">
      <c r="A4" s="21" t="s">
        <v>80</v>
      </c>
    </row>
    <row r="6" customFormat="false" ht="15" hidden="false" customHeight="false" outlineLevel="0" collapsed="false">
      <c r="A6" s="4" t="s">
        <v>271</v>
      </c>
    </row>
    <row r="7" customFormat="false" ht="23.85" hidden="false" customHeight="false" outlineLevel="0" collapsed="false">
      <c r="A7" s="51" t="s">
        <v>272</v>
      </c>
    </row>
  </sheetData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8"/>
  </cols>
  <sheetData>
    <row r="1" customFormat="false" ht="18.55" hidden="false" customHeight="false" outlineLevel="0" collapsed="false">
      <c r="A1" s="18" t="s">
        <v>56</v>
      </c>
    </row>
    <row r="2" customFormat="false" ht="15" hidden="false" customHeight="false" outlineLevel="0" collapsed="false">
      <c r="A2" s="19" t="s">
        <v>104</v>
      </c>
      <c r="B2" s="19"/>
      <c r="C2" s="19"/>
      <c r="D2" s="19"/>
      <c r="E2" s="19"/>
      <c r="F2" s="19"/>
      <c r="G2" s="19"/>
    </row>
    <row r="3" customFormat="false" ht="15" hidden="false" customHeight="false" outlineLevel="0" collapsed="false">
      <c r="A3" s="20" t="s">
        <v>57</v>
      </c>
      <c r="B3" s="20"/>
      <c r="C3" s="20"/>
      <c r="D3" s="20"/>
      <c r="E3" s="20"/>
      <c r="F3" s="20"/>
      <c r="G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146</v>
      </c>
      <c r="B6" s="22" t="s">
        <v>273</v>
      </c>
      <c r="C6" s="22" t="s">
        <v>274</v>
      </c>
      <c r="D6" s="22" t="s">
        <v>275</v>
      </c>
      <c r="E6" s="22" t="s">
        <v>276</v>
      </c>
      <c r="F6" s="22" t="s">
        <v>150</v>
      </c>
      <c r="G6" s="22" t="s">
        <v>277</v>
      </c>
    </row>
    <row r="7" customFormat="false" ht="23.85" hidden="false" customHeight="false" outlineLevel="0" collapsed="false">
      <c r="A7" s="23" t="s">
        <v>278</v>
      </c>
      <c r="B7" s="23" t="s">
        <v>279</v>
      </c>
      <c r="C7" s="23" t="s">
        <v>280</v>
      </c>
      <c r="D7" s="23" t="s">
        <v>281</v>
      </c>
      <c r="E7" s="23" t="s">
        <v>282</v>
      </c>
      <c r="F7" s="23" t="s">
        <v>283</v>
      </c>
      <c r="G7" s="23" t="s">
        <v>284</v>
      </c>
    </row>
    <row r="8" customFormat="false" ht="23.85" hidden="false" customHeight="false" outlineLevel="0" collapsed="false">
      <c r="A8" s="25" t="s">
        <v>285</v>
      </c>
      <c r="B8" s="25" t="s">
        <v>286</v>
      </c>
      <c r="C8" s="25" t="s">
        <v>287</v>
      </c>
      <c r="D8" s="25" t="s">
        <v>288</v>
      </c>
      <c r="E8" s="25" t="s">
        <v>289</v>
      </c>
      <c r="F8" s="25" t="s">
        <v>290</v>
      </c>
      <c r="G8" s="25" t="s">
        <v>291</v>
      </c>
    </row>
  </sheetData>
  <mergeCells count="2">
    <mergeCell ref="A2:G2"/>
    <mergeCell ref="A3:G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50"/>
  </cols>
  <sheetData>
    <row r="1" customFormat="false" ht="18.55" hidden="false" customHeight="false" outlineLevel="0" collapsed="false">
      <c r="A1" s="18" t="s">
        <v>59</v>
      </c>
    </row>
    <row r="2" customFormat="false" ht="15" hidden="false" customHeight="false" outlineLevel="0" collapsed="false">
      <c r="A2" s="19" t="s">
        <v>292</v>
      </c>
      <c r="B2" s="19"/>
      <c r="C2" s="19"/>
    </row>
    <row r="3" customFormat="false" ht="15" hidden="false" customHeight="false" outlineLevel="0" collapsed="false">
      <c r="A3" s="20" t="s">
        <v>60</v>
      </c>
      <c r="B3" s="20"/>
      <c r="C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293</v>
      </c>
      <c r="B6" s="22" t="s">
        <v>294</v>
      </c>
      <c r="C6" s="22" t="s">
        <v>295</v>
      </c>
    </row>
    <row r="7" customFormat="false" ht="23.85" hidden="false" customHeight="false" outlineLevel="0" collapsed="false">
      <c r="A7" s="23" t="s">
        <v>296</v>
      </c>
      <c r="B7" s="23" t="s">
        <v>297</v>
      </c>
      <c r="C7" s="23" t="s">
        <v>298</v>
      </c>
    </row>
    <row r="8" customFormat="false" ht="15" hidden="false" customHeight="false" outlineLevel="0" collapsed="false">
      <c r="A8" s="25" t="s">
        <v>299</v>
      </c>
      <c r="B8" s="25" t="s">
        <v>300</v>
      </c>
      <c r="C8" s="25" t="s">
        <v>301</v>
      </c>
    </row>
    <row r="9" customFormat="false" ht="23.85" hidden="false" customHeight="false" outlineLevel="0" collapsed="false">
      <c r="A9" s="23" t="s">
        <v>302</v>
      </c>
      <c r="B9" s="23" t="s">
        <v>303</v>
      </c>
      <c r="C9" s="23" t="s">
        <v>304</v>
      </c>
    </row>
  </sheetData>
  <mergeCells count="2">
    <mergeCell ref="A2:C2"/>
    <mergeCell ref="A3:C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18.55" hidden="false" customHeight="false" outlineLevel="0" collapsed="false">
      <c r="A1" s="18" t="s">
        <v>62</v>
      </c>
    </row>
    <row r="2" customFormat="false" ht="15" hidden="false" customHeight="false" outlineLevel="0" collapsed="false">
      <c r="A2" s="19" t="s">
        <v>104</v>
      </c>
      <c r="B2" s="19"/>
      <c r="C2" s="19"/>
      <c r="D2" s="19"/>
    </row>
    <row r="3" customFormat="false" ht="15" hidden="false" customHeight="false" outlineLevel="0" collapsed="false">
      <c r="A3" s="20" t="s">
        <v>63</v>
      </c>
      <c r="B3" s="20"/>
      <c r="C3" s="20"/>
      <c r="D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305</v>
      </c>
      <c r="B6" s="22" t="s">
        <v>122</v>
      </c>
      <c r="C6" s="22" t="s">
        <v>306</v>
      </c>
      <c r="D6" s="22" t="s">
        <v>307</v>
      </c>
    </row>
    <row r="7" customFormat="false" ht="15" hidden="false" customHeight="false" outlineLevel="0" collapsed="false">
      <c r="A7" s="23" t="s">
        <v>308</v>
      </c>
      <c r="B7" s="35" t="n">
        <v>60</v>
      </c>
      <c r="C7" s="55" t="n">
        <v>0</v>
      </c>
      <c r="D7" s="23"/>
    </row>
    <row r="8" customFormat="false" ht="15" hidden="false" customHeight="false" outlineLevel="0" collapsed="false">
      <c r="A8" s="25" t="s">
        <v>128</v>
      </c>
      <c r="B8" s="38" t="n">
        <v>70</v>
      </c>
      <c r="C8" s="56" t="n">
        <v>0.02</v>
      </c>
      <c r="D8" s="25"/>
    </row>
    <row r="9" customFormat="false" ht="15" hidden="false" customHeight="false" outlineLevel="0" collapsed="false">
      <c r="A9" s="23" t="s">
        <v>309</v>
      </c>
      <c r="B9" s="35" t="n">
        <v>40</v>
      </c>
      <c r="C9" s="55" t="n">
        <v>0.15</v>
      </c>
      <c r="D9" s="23"/>
    </row>
    <row r="10" customFormat="false" ht="15" hidden="false" customHeight="false" outlineLevel="0" collapsed="false">
      <c r="A10" s="25" t="s">
        <v>310</v>
      </c>
      <c r="B10" s="38" t="n">
        <v>30</v>
      </c>
      <c r="C10" s="56" t="n">
        <v>0.05</v>
      </c>
      <c r="D10" s="25" t="s">
        <v>311</v>
      </c>
    </row>
    <row r="12" customFormat="false" ht="15" hidden="false" customHeight="false" outlineLevel="0" collapsed="false">
      <c r="A12" s="57" t="s">
        <v>312</v>
      </c>
      <c r="B12" s="0" t="n">
        <v>150</v>
      </c>
    </row>
    <row r="13" customFormat="false" ht="15" hidden="false" customHeight="false" outlineLevel="0" collapsed="false">
      <c r="A13" s="57" t="s">
        <v>313</v>
      </c>
      <c r="B13" s="58" t="s">
        <v>314</v>
      </c>
    </row>
  </sheetData>
  <mergeCells count="2">
    <mergeCell ref="A2:D2"/>
    <mergeCell ref="A3:D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8.55" hidden="false" customHeight="false" outlineLevel="0" collapsed="false">
      <c r="A1" s="18" t="s">
        <v>65</v>
      </c>
    </row>
    <row r="2" customFormat="false" ht="15" hidden="false" customHeight="false" outlineLevel="0" collapsed="false">
      <c r="A2" s="19" t="s">
        <v>104</v>
      </c>
      <c r="B2" s="19"/>
      <c r="C2" s="19"/>
    </row>
    <row r="3" customFormat="false" ht="15" hidden="false" customHeight="false" outlineLevel="0" collapsed="false">
      <c r="A3" s="20" t="s">
        <v>66</v>
      </c>
      <c r="B3" s="20"/>
      <c r="C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315</v>
      </c>
      <c r="B6" s="22" t="s">
        <v>316</v>
      </c>
      <c r="C6" s="22" t="s">
        <v>317</v>
      </c>
    </row>
    <row r="7" customFormat="false" ht="129.75" hidden="false" customHeight="true" outlineLevel="0" collapsed="false">
      <c r="A7" s="23" t="s">
        <v>318</v>
      </c>
      <c r="B7" s="23" t="s">
        <v>319</v>
      </c>
      <c r="C7" s="23" t="s">
        <v>320</v>
      </c>
    </row>
    <row r="8" customFormat="false" ht="129.75" hidden="false" customHeight="true" outlineLevel="0" collapsed="false">
      <c r="A8" s="25" t="s">
        <v>318</v>
      </c>
      <c r="B8" s="25" t="s">
        <v>321</v>
      </c>
      <c r="C8" s="25" t="s">
        <v>322</v>
      </c>
    </row>
    <row r="9" customFormat="false" ht="129.75" hidden="false" customHeight="true" outlineLevel="0" collapsed="false">
      <c r="A9" s="23" t="s">
        <v>318</v>
      </c>
      <c r="B9" s="23" t="s">
        <v>323</v>
      </c>
      <c r="C9" s="23" t="s">
        <v>324</v>
      </c>
    </row>
    <row r="10" customFormat="false" ht="109.5" hidden="false" customHeight="true" outlineLevel="0" collapsed="false">
      <c r="A10" s="25" t="s">
        <v>325</v>
      </c>
      <c r="B10" s="25" t="s">
        <v>319</v>
      </c>
      <c r="C10" s="25" t="s">
        <v>326</v>
      </c>
    </row>
    <row r="11" customFormat="false" ht="60" hidden="false" customHeight="true" outlineLevel="0" collapsed="false">
      <c r="A11" s="23" t="s">
        <v>325</v>
      </c>
      <c r="B11" s="23" t="s">
        <v>321</v>
      </c>
      <c r="C11" s="23" t="s">
        <v>327</v>
      </c>
    </row>
    <row r="12" customFormat="false" ht="60" hidden="false" customHeight="true" outlineLevel="0" collapsed="false">
      <c r="A12" s="25" t="s">
        <v>325</v>
      </c>
      <c r="B12" s="25" t="s">
        <v>323</v>
      </c>
      <c r="C12" s="25" t="s">
        <v>328</v>
      </c>
    </row>
    <row r="13" customFormat="false" ht="109.5" hidden="false" customHeight="true" outlineLevel="0" collapsed="false">
      <c r="A13" s="23" t="s">
        <v>329</v>
      </c>
      <c r="B13" s="23" t="s">
        <v>319</v>
      </c>
      <c r="C13" s="23" t="s">
        <v>330</v>
      </c>
    </row>
    <row r="14" customFormat="false" ht="60" hidden="false" customHeight="true" outlineLevel="0" collapsed="false">
      <c r="A14" s="25" t="s">
        <v>329</v>
      </c>
      <c r="B14" s="25" t="s">
        <v>321</v>
      </c>
      <c r="C14" s="25" t="s">
        <v>331</v>
      </c>
    </row>
    <row r="15" customFormat="false" ht="60" hidden="false" customHeight="true" outlineLevel="0" collapsed="false">
      <c r="A15" s="23" t="s">
        <v>329</v>
      </c>
      <c r="B15" s="23" t="s">
        <v>323</v>
      </c>
      <c r="C15" s="23" t="s">
        <v>332</v>
      </c>
    </row>
    <row r="16" customFormat="false" ht="109.5" hidden="false" customHeight="true" outlineLevel="0" collapsed="false">
      <c r="A16" s="25" t="s">
        <v>333</v>
      </c>
      <c r="B16" s="25" t="s">
        <v>319</v>
      </c>
      <c r="C16" s="25" t="s">
        <v>334</v>
      </c>
    </row>
    <row r="17" customFormat="false" ht="60" hidden="false" customHeight="true" outlineLevel="0" collapsed="false">
      <c r="A17" s="23" t="s">
        <v>333</v>
      </c>
      <c r="B17" s="23" t="s">
        <v>321</v>
      </c>
      <c r="C17" s="23" t="s">
        <v>335</v>
      </c>
    </row>
    <row r="18" customFormat="false" ht="60" hidden="false" customHeight="true" outlineLevel="0" collapsed="false">
      <c r="A18" s="25" t="s">
        <v>333</v>
      </c>
      <c r="B18" s="25" t="s">
        <v>323</v>
      </c>
      <c r="C18" s="25" t="s">
        <v>336</v>
      </c>
    </row>
    <row r="19" customFormat="false" ht="109.5" hidden="false" customHeight="true" outlineLevel="0" collapsed="false">
      <c r="A19" s="23" t="s">
        <v>337</v>
      </c>
      <c r="B19" s="23" t="s">
        <v>319</v>
      </c>
      <c r="C19" s="23" t="s">
        <v>338</v>
      </c>
    </row>
    <row r="20" customFormat="false" ht="60" hidden="false" customHeight="true" outlineLevel="0" collapsed="false">
      <c r="A20" s="25" t="s">
        <v>337</v>
      </c>
      <c r="B20" s="25" t="s">
        <v>321</v>
      </c>
      <c r="C20" s="25" t="s">
        <v>339</v>
      </c>
    </row>
    <row r="21" customFormat="false" ht="60" hidden="false" customHeight="true" outlineLevel="0" collapsed="false">
      <c r="A21" s="23" t="s">
        <v>337</v>
      </c>
      <c r="B21" s="23" t="s">
        <v>340</v>
      </c>
      <c r="C21" s="23" t="s">
        <v>341</v>
      </c>
    </row>
  </sheetData>
  <mergeCells count="2">
    <mergeCell ref="A2:C2"/>
    <mergeCell ref="A3:C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8" t="s">
        <v>68</v>
      </c>
    </row>
    <row r="2" customFormat="false" ht="15" hidden="false" customHeight="false" outlineLevel="0" collapsed="false">
      <c r="A2" s="19" t="s">
        <v>342</v>
      </c>
      <c r="B2" s="19"/>
    </row>
    <row r="3" customFormat="false" ht="15" hidden="false" customHeight="false" outlineLevel="0" collapsed="false">
      <c r="A3" s="20" t="s">
        <v>69</v>
      </c>
      <c r="B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343</v>
      </c>
      <c r="B6" s="22" t="s">
        <v>344</v>
      </c>
    </row>
    <row r="7" customFormat="false" ht="39.75" hidden="false" customHeight="true" outlineLevel="0" collapsed="false">
      <c r="A7" s="23" t="s">
        <v>345</v>
      </c>
      <c r="B7" s="24"/>
    </row>
    <row r="8" customFormat="false" ht="39.75" hidden="false" customHeight="true" outlineLevel="0" collapsed="false">
      <c r="A8" s="25" t="s">
        <v>230</v>
      </c>
      <c r="B8" s="24"/>
    </row>
    <row r="9" customFormat="false" ht="39.75" hidden="false" customHeight="true" outlineLevel="0" collapsed="false">
      <c r="A9" s="23" t="s">
        <v>346</v>
      </c>
      <c r="B9" s="24"/>
    </row>
    <row r="10" customFormat="false" ht="39.75" hidden="false" customHeight="true" outlineLevel="0" collapsed="false">
      <c r="A10" s="25" t="s">
        <v>347</v>
      </c>
      <c r="B10" s="24"/>
    </row>
    <row r="11" customFormat="false" ht="39.75" hidden="false" customHeight="true" outlineLevel="0" collapsed="false">
      <c r="A11" s="23" t="s">
        <v>317</v>
      </c>
      <c r="B11" s="24"/>
    </row>
    <row r="12" customFormat="false" ht="39.75" hidden="false" customHeight="true" outlineLevel="0" collapsed="false">
      <c r="A12" s="25" t="s">
        <v>348</v>
      </c>
      <c r="B12" s="24"/>
    </row>
    <row r="13" customFormat="false" ht="39.75" hidden="false" customHeight="true" outlineLevel="0" collapsed="false">
      <c r="A13" s="23" t="s">
        <v>349</v>
      </c>
      <c r="B13" s="24"/>
    </row>
    <row r="14" customFormat="false" ht="39.75" hidden="false" customHeight="true" outlineLevel="0" collapsed="false">
      <c r="A14" s="25" t="s">
        <v>350</v>
      </c>
      <c r="B14" s="24"/>
    </row>
    <row r="15" customFormat="false" ht="39.75" hidden="false" customHeight="true" outlineLevel="0" collapsed="false">
      <c r="A15" s="23" t="s">
        <v>351</v>
      </c>
      <c r="B15" s="24"/>
    </row>
    <row r="16" customFormat="false" ht="39.75" hidden="false" customHeight="true" outlineLevel="0" collapsed="false">
      <c r="A16" s="25" t="s">
        <v>352</v>
      </c>
      <c r="B16" s="24"/>
    </row>
    <row r="17" customFormat="false" ht="39.75" hidden="false" customHeight="true" outlineLevel="0" collapsed="false">
      <c r="A17" s="23" t="s">
        <v>353</v>
      </c>
      <c r="B17" s="24"/>
    </row>
    <row r="18" customFormat="false" ht="39.75" hidden="false" customHeight="true" outlineLevel="0" collapsed="false">
      <c r="A18" s="25" t="s">
        <v>354</v>
      </c>
      <c r="B18" s="24"/>
    </row>
  </sheetData>
  <mergeCells count="2">
    <mergeCell ref="A2:B2"/>
    <mergeCell ref="A3:B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4"/>
    <col collapsed="false" customWidth="true" hidden="false" outlineLevel="0" max="5" min="5" style="0" width="12"/>
  </cols>
  <sheetData>
    <row r="1" customFormat="false" ht="18.55" hidden="false" customHeight="false" outlineLevel="0" collapsed="false">
      <c r="A1" s="18" t="s">
        <v>71</v>
      </c>
    </row>
    <row r="2" customFormat="false" ht="15" hidden="false" customHeight="false" outlineLevel="0" collapsed="false">
      <c r="A2" s="19" t="s">
        <v>342</v>
      </c>
      <c r="B2" s="19"/>
      <c r="C2" s="19"/>
      <c r="D2" s="19"/>
      <c r="E2" s="19"/>
    </row>
    <row r="3" customFormat="false" ht="15" hidden="false" customHeight="false" outlineLevel="0" collapsed="false">
      <c r="A3" s="20" t="s">
        <v>72</v>
      </c>
      <c r="B3" s="20"/>
      <c r="C3" s="20"/>
      <c r="D3" s="20"/>
      <c r="E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316</v>
      </c>
      <c r="B6" s="22" t="s">
        <v>355</v>
      </c>
      <c r="C6" s="22" t="s">
        <v>356</v>
      </c>
      <c r="D6" s="22" t="s">
        <v>357</v>
      </c>
      <c r="E6" s="22" t="s">
        <v>358</v>
      </c>
    </row>
    <row r="7" customFormat="false" ht="48" hidden="false" customHeight="true" outlineLevel="0" collapsed="false">
      <c r="A7" s="23" t="s">
        <v>359</v>
      </c>
      <c r="B7" s="23" t="s">
        <v>360</v>
      </c>
      <c r="C7" s="24"/>
      <c r="D7" s="24"/>
      <c r="E7" s="24"/>
    </row>
    <row r="8" customFormat="false" ht="48" hidden="false" customHeight="true" outlineLevel="0" collapsed="false">
      <c r="A8" s="25" t="s">
        <v>361</v>
      </c>
      <c r="B8" s="25" t="s">
        <v>362</v>
      </c>
      <c r="C8" s="24"/>
      <c r="D8" s="24"/>
      <c r="E8" s="24"/>
    </row>
    <row r="9" customFormat="false" ht="48" hidden="false" customHeight="true" outlineLevel="0" collapsed="false">
      <c r="A9" s="23" t="s">
        <v>363</v>
      </c>
      <c r="B9" s="23" t="s">
        <v>364</v>
      </c>
      <c r="C9" s="24"/>
      <c r="D9" s="24"/>
      <c r="E9" s="24"/>
    </row>
    <row r="12" customFormat="false" ht="15" hidden="false" customHeight="false" outlineLevel="0" collapsed="false">
      <c r="A12" s="22" t="s">
        <v>365</v>
      </c>
      <c r="B12" s="22" t="s">
        <v>366</v>
      </c>
      <c r="C12" s="22" t="s">
        <v>367</v>
      </c>
      <c r="D12" s="22" t="s">
        <v>368</v>
      </c>
      <c r="E12" s="22" t="s">
        <v>369</v>
      </c>
    </row>
    <row r="13" customFormat="false" ht="15" hidden="false" customHeight="false" outlineLevel="0" collapsed="false">
      <c r="A13" s="23" t="s">
        <v>370</v>
      </c>
      <c r="B13" s="24"/>
      <c r="C13" s="24"/>
      <c r="D13" s="23" t="str">
        <f aca="false">IF(OR(B13="",C13=""),"",C13-B13)</f>
        <v/>
      </c>
      <c r="E13" s="24"/>
    </row>
    <row r="14" customFormat="false" ht="15" hidden="false" customHeight="false" outlineLevel="0" collapsed="false">
      <c r="A14" s="25" t="s">
        <v>371</v>
      </c>
      <c r="B14" s="24"/>
      <c r="C14" s="24"/>
      <c r="D14" s="25" t="str">
        <f aca="false">IF(OR(B14="",C14=""),"",C14-B14)</f>
        <v/>
      </c>
      <c r="E14" s="24"/>
    </row>
    <row r="15" customFormat="false" ht="15" hidden="false" customHeight="false" outlineLevel="0" collapsed="false">
      <c r="A15" s="23" t="s">
        <v>372</v>
      </c>
      <c r="B15" s="59"/>
      <c r="C15" s="59"/>
      <c r="D15" s="55" t="str">
        <f aca="false">IF(OR(B15="",C15=""),"",C15-B15)</f>
        <v/>
      </c>
      <c r="E15" s="24"/>
    </row>
  </sheetData>
  <mergeCells count="2">
    <mergeCell ref="A2:E2"/>
    <mergeCell ref="A3:E3"/>
  </mergeCells>
  <dataValidations count="2">
    <dataValidation allowBlank="true" errorStyle="stop" operator="between" showDropDown="false" showErrorMessage="false" showInputMessage="false" sqref="E7:E9" type="list">
      <formula1>"Ya,Tidak"</formula1>
      <formula2>0</formula2>
    </dataValidation>
    <dataValidation allowBlank="true" errorStyle="stop" operator="between" showDropDown="false" showErrorMessage="false" showInputMessage="false" sqref="E13:E15" type="list">
      <formula1>"Diukur,Anggaran"</formula1>
      <formula2>0</formula2>
    </dataValidation>
  </dataValidation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8.55" hidden="false" customHeight="false" outlineLevel="0" collapsed="false">
      <c r="A1" s="18" t="s">
        <v>74</v>
      </c>
    </row>
    <row r="2" customFormat="false" ht="15" hidden="false" customHeight="false" outlineLevel="0" collapsed="false">
      <c r="A2" s="19" t="s">
        <v>79</v>
      </c>
      <c r="B2" s="19"/>
      <c r="C2" s="19"/>
      <c r="D2" s="19"/>
      <c r="E2" s="19"/>
      <c r="F2" s="19"/>
    </row>
    <row r="3" customFormat="false" ht="15" hidden="false" customHeight="false" outlineLevel="0" collapsed="false">
      <c r="A3" s="20" t="s">
        <v>75</v>
      </c>
      <c r="B3" s="20"/>
      <c r="C3" s="20"/>
      <c r="D3" s="20"/>
      <c r="E3" s="20"/>
      <c r="F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373</v>
      </c>
      <c r="B6" s="22" t="s">
        <v>169</v>
      </c>
      <c r="C6" s="22" t="s">
        <v>374</v>
      </c>
      <c r="D6" s="22" t="s">
        <v>168</v>
      </c>
      <c r="E6" s="22" t="s">
        <v>170</v>
      </c>
      <c r="F6" s="22" t="s">
        <v>354</v>
      </c>
    </row>
    <row r="7" customFormat="false" ht="48" hidden="false" customHeight="true" outlineLevel="0" collapsed="false">
      <c r="A7" s="60" t="s">
        <v>375</v>
      </c>
      <c r="B7" s="60" t="s">
        <v>376</v>
      </c>
      <c r="C7" s="60" t="s">
        <v>377</v>
      </c>
      <c r="D7" s="60" t="s">
        <v>378</v>
      </c>
      <c r="E7" s="60" t="s">
        <v>184</v>
      </c>
      <c r="F7" s="60" t="s">
        <v>379</v>
      </c>
    </row>
    <row r="8" customFormat="false" ht="48" hidden="false" customHeight="true" outlineLevel="0" collapsed="false">
      <c r="A8" s="24"/>
      <c r="B8" s="24"/>
      <c r="C8" s="24"/>
      <c r="D8" s="24"/>
      <c r="E8" s="24"/>
      <c r="F8" s="24"/>
    </row>
    <row r="9" customFormat="false" ht="48" hidden="false" customHeight="true" outlineLevel="0" collapsed="false">
      <c r="A9" s="24"/>
      <c r="B9" s="24"/>
      <c r="C9" s="24"/>
      <c r="D9" s="24"/>
      <c r="E9" s="24"/>
      <c r="F9" s="24"/>
    </row>
    <row r="11" customFormat="false" ht="23.85" hidden="false" customHeight="false" outlineLevel="0" collapsed="false">
      <c r="A11" s="22" t="s">
        <v>365</v>
      </c>
      <c r="B11" s="22" t="s">
        <v>380</v>
      </c>
      <c r="C11" s="22" t="s">
        <v>381</v>
      </c>
      <c r="D11" s="22" t="s">
        <v>368</v>
      </c>
    </row>
    <row r="12" customFormat="false" ht="15" hidden="false" customHeight="false" outlineLevel="0" collapsed="false">
      <c r="A12" s="23" t="s">
        <v>370</v>
      </c>
      <c r="B12" s="24"/>
      <c r="C12" s="24"/>
      <c r="D12" s="23" t="str">
        <f aca="false">IF(OR(B12="",C12=""),"",C12-B12)</f>
        <v/>
      </c>
    </row>
    <row r="13" customFormat="false" ht="15" hidden="false" customHeight="false" outlineLevel="0" collapsed="false">
      <c r="A13" s="25" t="s">
        <v>371</v>
      </c>
      <c r="B13" s="24"/>
      <c r="C13" s="24"/>
      <c r="D13" s="25" t="str">
        <f aca="false">IF(OR(B13="",C13=""),"",C13-B13)</f>
        <v/>
      </c>
    </row>
    <row r="14" customFormat="false" ht="15" hidden="false" customHeight="false" outlineLevel="0" collapsed="false">
      <c r="A14" s="23" t="s">
        <v>372</v>
      </c>
      <c r="B14" s="24"/>
      <c r="C14" s="24"/>
      <c r="D14" s="23" t="str">
        <f aca="false">IF(OR(B14="",C14=""),"",C14-B14)</f>
        <v/>
      </c>
    </row>
  </sheetData>
  <mergeCells count="2">
    <mergeCell ref="A2:F2"/>
    <mergeCell ref="A3:F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10"/>
  </cols>
  <sheetData>
    <row r="1" customFormat="false" ht="18.55" hidden="false" customHeight="false" outlineLevel="0" collapsed="false">
      <c r="A1" s="18" t="s">
        <v>77</v>
      </c>
    </row>
    <row r="2" customFormat="false" ht="15" hidden="false" customHeight="false" outlineLevel="0" collapsed="false">
      <c r="A2" s="19" t="s">
        <v>382</v>
      </c>
      <c r="B2" s="19"/>
      <c r="C2" s="19"/>
      <c r="D2" s="19"/>
    </row>
    <row r="3" customFormat="false" ht="15" hidden="false" customHeight="false" outlineLevel="0" collapsed="false">
      <c r="A3" s="20" t="s">
        <v>78</v>
      </c>
      <c r="B3" s="20"/>
      <c r="C3" s="20"/>
      <c r="D3" s="20"/>
    </row>
    <row r="4" customFormat="false" ht="15" hidden="false" customHeight="false" outlineLevel="0" collapsed="false">
      <c r="A4" s="21" t="s">
        <v>80</v>
      </c>
    </row>
    <row r="6" customFormat="false" ht="15" hidden="false" customHeight="false" outlineLevel="0" collapsed="false">
      <c r="A6" s="22" t="s">
        <v>167</v>
      </c>
      <c r="B6" s="22" t="s">
        <v>383</v>
      </c>
      <c r="C6" s="22" t="s">
        <v>384</v>
      </c>
      <c r="D6" s="22" t="s">
        <v>385</v>
      </c>
    </row>
    <row r="7" customFormat="false" ht="189.75" hidden="false" customHeight="true" outlineLevel="0" collapsed="false">
      <c r="A7" s="23" t="s">
        <v>386</v>
      </c>
      <c r="B7" s="23" t="s">
        <v>387</v>
      </c>
      <c r="C7" s="23" t="s">
        <v>388</v>
      </c>
      <c r="D7" s="23" t="s">
        <v>389</v>
      </c>
    </row>
    <row r="8" customFormat="false" ht="189.75" hidden="false" customHeight="true" outlineLevel="0" collapsed="false">
      <c r="A8" s="25" t="s">
        <v>390</v>
      </c>
      <c r="B8" s="25" t="s">
        <v>391</v>
      </c>
      <c r="C8" s="25" t="s">
        <v>388</v>
      </c>
      <c r="D8" s="25" t="s">
        <v>392</v>
      </c>
    </row>
    <row r="9" customFormat="false" ht="189.75" hidden="false" customHeight="true" outlineLevel="0" collapsed="false">
      <c r="A9" s="23" t="s">
        <v>393</v>
      </c>
      <c r="B9" s="23" t="s">
        <v>394</v>
      </c>
      <c r="C9" s="23" t="s">
        <v>388</v>
      </c>
      <c r="D9" s="23" t="s">
        <v>395</v>
      </c>
    </row>
    <row r="10" customFormat="false" ht="189.75" hidden="false" customHeight="true" outlineLevel="0" collapsed="false">
      <c r="A10" s="25" t="s">
        <v>396</v>
      </c>
      <c r="B10" s="25" t="s">
        <v>397</v>
      </c>
      <c r="C10" s="25" t="s">
        <v>398</v>
      </c>
      <c r="D10" s="25" t="s">
        <v>399</v>
      </c>
    </row>
    <row r="11" customFormat="false" ht="189.75" hidden="false" customHeight="true" outlineLevel="0" collapsed="false">
      <c r="A11" s="23" t="s">
        <v>400</v>
      </c>
      <c r="B11" s="23" t="s">
        <v>401</v>
      </c>
      <c r="C11" s="23" t="s">
        <v>402</v>
      </c>
      <c r="D11" s="23" t="s">
        <v>403</v>
      </c>
    </row>
    <row r="12" customFormat="false" ht="189.75" hidden="false" customHeight="true" outlineLevel="0" collapsed="false">
      <c r="A12" s="25" t="s">
        <v>404</v>
      </c>
      <c r="B12" s="25" t="s">
        <v>405</v>
      </c>
      <c r="C12" s="25" t="s">
        <v>406</v>
      </c>
      <c r="D12" s="25" t="s">
        <v>407</v>
      </c>
    </row>
    <row r="13" customFormat="false" ht="189.75" hidden="false" customHeight="true" outlineLevel="0" collapsed="false">
      <c r="A13" s="23" t="s">
        <v>408</v>
      </c>
      <c r="B13" s="23" t="s">
        <v>409</v>
      </c>
      <c r="C13" s="23" t="s">
        <v>410</v>
      </c>
      <c r="D13" s="23" t="s">
        <v>411</v>
      </c>
    </row>
    <row r="14" customFormat="false" ht="189.75" hidden="false" customHeight="true" outlineLevel="0" collapsed="false">
      <c r="A14" s="25" t="s">
        <v>412</v>
      </c>
      <c r="B14" s="25" t="s">
        <v>413</v>
      </c>
      <c r="C14" s="25" t="s">
        <v>414</v>
      </c>
      <c r="D14" s="25" t="s">
        <v>415</v>
      </c>
    </row>
    <row r="15" customFormat="false" ht="189.75" hidden="false" customHeight="true" outlineLevel="0" collapsed="false">
      <c r="A15" s="23" t="s">
        <v>416</v>
      </c>
      <c r="B15" s="23" t="s">
        <v>417</v>
      </c>
      <c r="C15" s="23" t="s">
        <v>418</v>
      </c>
      <c r="D15" s="23" t="s">
        <v>419</v>
      </c>
    </row>
    <row r="16" customFormat="false" ht="189.75" hidden="false" customHeight="true" outlineLevel="0" collapsed="false">
      <c r="A16" s="25" t="s">
        <v>420</v>
      </c>
      <c r="B16" s="25" t="s">
        <v>421</v>
      </c>
      <c r="C16" s="25" t="s">
        <v>422</v>
      </c>
      <c r="D16" s="25" t="s">
        <v>423</v>
      </c>
    </row>
    <row r="17" customFormat="false" ht="189.75" hidden="false" customHeight="true" outlineLevel="0" collapsed="false">
      <c r="A17" s="23" t="s">
        <v>424</v>
      </c>
      <c r="B17" s="23" t="s">
        <v>425</v>
      </c>
      <c r="C17" s="23" t="s">
        <v>426</v>
      </c>
      <c r="D17" s="23" t="s">
        <v>427</v>
      </c>
    </row>
    <row r="18" customFormat="false" ht="189.75" hidden="false" customHeight="true" outlineLevel="0" collapsed="false">
      <c r="A18" s="25" t="s">
        <v>428</v>
      </c>
      <c r="B18" s="25" t="s">
        <v>429</v>
      </c>
      <c r="C18" s="25" t="s">
        <v>430</v>
      </c>
      <c r="D18" s="25" t="s">
        <v>431</v>
      </c>
    </row>
    <row r="19" customFormat="false" ht="189.75" hidden="false" customHeight="true" outlineLevel="0" collapsed="false">
      <c r="A19" s="23" t="s">
        <v>432</v>
      </c>
      <c r="B19" s="23" t="s">
        <v>433</v>
      </c>
      <c r="C19" s="23" t="s">
        <v>434</v>
      </c>
      <c r="D19" s="23" t="s">
        <v>435</v>
      </c>
    </row>
    <row r="20" customFormat="false" ht="189.75" hidden="false" customHeight="true" outlineLevel="0" collapsed="false">
      <c r="A20" s="25" t="s">
        <v>436</v>
      </c>
      <c r="B20" s="25" t="s">
        <v>437</v>
      </c>
      <c r="C20" s="25" t="s">
        <v>438</v>
      </c>
      <c r="D20" s="25" t="s">
        <v>439</v>
      </c>
    </row>
    <row r="21" customFormat="false" ht="189.75" hidden="false" customHeight="true" outlineLevel="0" collapsed="false">
      <c r="A21" s="23" t="s">
        <v>440</v>
      </c>
      <c r="B21" s="23" t="s">
        <v>441</v>
      </c>
      <c r="C21" s="23" t="s">
        <v>442</v>
      </c>
      <c r="D21" s="23" t="s">
        <v>443</v>
      </c>
    </row>
    <row r="22" customFormat="false" ht="189.75" hidden="false" customHeight="true" outlineLevel="0" collapsed="false">
      <c r="A22" s="25" t="s">
        <v>444</v>
      </c>
      <c r="B22" s="25" t="s">
        <v>445</v>
      </c>
      <c r="C22" s="25" t="s">
        <v>446</v>
      </c>
      <c r="D22" s="25" t="s">
        <v>447</v>
      </c>
    </row>
    <row r="23" customFormat="false" ht="189.75" hidden="false" customHeight="true" outlineLevel="0" collapsed="false">
      <c r="A23" s="23" t="s">
        <v>448</v>
      </c>
      <c r="B23" s="23" t="s">
        <v>449</v>
      </c>
      <c r="C23" s="23" t="s">
        <v>450</v>
      </c>
      <c r="D23" s="23" t="s">
        <v>451</v>
      </c>
    </row>
  </sheetData>
  <mergeCells count="2">
    <mergeCell ref="A2:D2"/>
    <mergeCell ref="A3:D3"/>
  </mergeCells>
  <hyperlinks>
    <hyperlink ref="A4" r:id="rId1" location="'Mula'!A1" display="← Kembali ke Mul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2026-10-25T01:18:09Z</dcterms:created>
  <dc:creator>openpyxl</dc:creator>
  <dc:description/>
  <dc:language>en-US</dc:language>
  <cp:lastModifiedBy/>
  <dcterms:modified xsi:type="dcterms:W3CDTF">2026-10-25T01:18:09Z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